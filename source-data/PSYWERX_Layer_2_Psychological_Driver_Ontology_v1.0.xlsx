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a1d10918854a81" /></Relationships>
</file>

<file path=xl/workbook.xml><?xml version="1.0" encoding="utf-8"?>
<x:workbook xmlns:x="http://schemas.openxmlformats.org/spreadsheetml/2006/main">
  <x:sheets>
    <x:sheet xmlns:r="http://schemas.openxmlformats.org/officeDocument/2006/relationships" name="Layer Summary" sheetId="1" r:id="R4414af3063624da1"/>
    <x:sheet xmlns:r="http://schemas.openxmlformats.org/officeDocument/2006/relationships" name="Families" sheetId="2" r:id="R3b9c78e3beb944a8"/>
    <x:sheet xmlns:r="http://schemas.openxmlformats.org/officeDocument/2006/relationships" name="Drivers" sheetId="3" r:id="R42d5d28a2f064ca2"/>
    <x:sheet xmlns:r="http://schemas.openxmlformats.org/officeDocument/2006/relationships" name="Evidence Library" sheetId="4" r:id="R40048d0fdc074ce7"/>
    <x:sheet xmlns:r="http://schemas.openxmlformats.org/officeDocument/2006/relationships" name="Relationships" sheetId="5" r:id="R00cde3f299904aac"/>
    <x:sheet xmlns:r="http://schemas.openxmlformats.org/officeDocument/2006/relationships" name="Operationalizations" sheetId="6" r:id="Rcfdda340b623488c"/>
    <x:sheet xmlns:r="http://schemas.openxmlformats.org/officeDocument/2006/relationships" name="Cautions &amp; Exclusions" sheetId="7" r:id="R35c136ed7cdb4ee7"/>
    <x:sheet xmlns:r="http://schemas.openxmlformats.org/officeDocument/2006/relationships" name="Codebook" sheetId="8" r:id="Rbbc19055ac6d41a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8"/>
      <x:color rgb="FFFFFFFF"/>
      <x:name val="Carlito"/>
    </x:font>
    <x:font>
      <x:i/>
      <x:sz val="10"/>
      <x:color rgb="FF18323F"/>
      <x:name val="Carlito"/>
    </x:font>
    <x:font>
      <x:b/>
      <x:sz val="10"/>
      <x:color rgb="FFFFFFFF"/>
      <x:name val="Carlito"/>
    </x:font>
    <x:font>
      <x:sz val="9"/>
      <x:color rgb="FF18323F"/>
      <x:name val="Carlito"/>
    </x:font>
    <x:font>
      <x:b/>
      <x:sz val="12"/>
      <x:color rgb="FFFFFFFF"/>
      <x:name val="Carlito"/>
    </x:font>
    <x:font>
      <x:b/>
      <x:sz val="10"/>
      <x:color rgb="FF18323F"/>
      <x:name val="Carlito"/>
    </x:font>
    <x:font>
      <x:b/>
      <x:sz val="9"/>
      <x:color rgb="FF18323F"/>
      <x:name val="Carlito"/>
    </x:font>
    <x:font>
      <x:b/>
      <x:sz val="11"/>
      <x:color rgb="FF18323F"/>
      <x:name val="Carlito"/>
    </x:font>
    <x:font>
      <x:b/>
      <x:sz val="12"/>
      <x:color rgb="FF18323F"/>
      <x:name val="Carlito"/>
    </x:font>
  </x:fonts>
  <x:fills count="9">
    <x:fill>
      <x:patternFill patternType="none"/>
    </x:fill>
    <x:fill>
      <x:patternFill patternType="gray125"/>
    </x:fill>
    <x:fill>
      <x:patternFill patternType="solid">
        <x:fgColor rgb="FF124E70"/>
      </x:patternFill>
    </x:fill>
    <x:fill>
      <x:patternFill patternType="solid">
        <x:fgColor rgb="FFEAF3F7"/>
      </x:patternFill>
    </x:fill>
    <x:fill>
      <x:patternFill patternType="solid">
        <x:fgColor rgb="FF1F6E8C"/>
      </x:patternFill>
    </x:fill>
    <x:fill>
      <x:patternFill patternType="solid">
        <x:fgColor rgb="FF2E8B8B"/>
      </x:patternFill>
    </x:fill>
    <x:fill>
      <x:patternFill patternType="solid">
        <x:fgColor rgb="FF124E70"/>
      </x:patternFill>
    </x:fill>
    <x:fill>
      <x:patternFill patternType="solid">
        <x:fgColor rgb="FFEAF3F7"/>
      </x:patternFill>
    </x:fill>
    <x:fill>
      <x:patternFill patternType="solid">
        <x:fgColor rgb="FF1F6E8C"/>
      </x:patternFill>
    </x:fill>
  </x:fills>
  <x:borders count="7">
    <x:border/>
    <x:border>
      <x:left style="thin">
        <x:color rgb="FF124E70"/>
      </x:left>
      <x:top style="thin">
        <x:color rgb="FF124E70"/>
      </x:top>
      <x:bottom style="thin">
        <x:color rgb="FF124E70"/>
      </x:bottom>
    </x:border>
    <x:border>
      <x:right style="thin">
        <x:color rgb="FF124E70"/>
      </x:right>
      <x:top style="thin">
        <x:color rgb="FF124E70"/>
      </x:top>
      <x:bottom style="thin">
        <x:color rgb="FF124E70"/>
      </x:bottom>
    </x:border>
    <x:border>
      <x:bottom style="thin">
        <x:color rgb="FFCBD8DE"/>
      </x:bottom>
    </x:border>
    <x:border>
      <x:top style="thin">
        <x:color rgb="FFCBD8DE"/>
      </x:top>
      <x:bottom style="thin">
        <x:color rgb="FFCBD8DE"/>
      </x:bottom>
    </x:border>
    <x:border>
      <x:top style="thin">
        <x:color rgb="FFCBD8DE"/>
      </x:top>
    </x:border>
    <x:border>
      <x:top style="thin">
        <x:color rgb="FF124E70"/>
      </x:top>
      <x:bottom style="thin">
        <x:color rgb="FF124E70"/>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200" fontId="4" fillId="0" borderId="4"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3" fillId="4" borderId="6" xfId="0" applyNumberFormat="1" applyFont="1" applyFill="1" applyBorder="1"/>
    <x:xf numFmtId="0" fontId="3" fillId="4" borderId="6" xfId="0" applyNumberFormat="1" applyFont="1" applyFill="1" applyBorder="1" applyAlignment="1">
      <x:alignment wrapText="1"/>
    </x:xf>
    <x:xf numFmtId="0" fontId="3" fillId="4" borderId="6"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0" fontId="7" fillId="0" borderId="4" xfId="0" applyNumberFormat="1" applyFont="1" applyFill="1" applyBorder="1" applyAlignment="1">
      <x:alignment vertical="center" wrapText="1"/>
    </x:xf>
    <x:xf numFmtId="0" fontId="7" fillId="0" borderId="5" xfId="0" applyNumberFormat="1" applyFont="1" applyFill="1" applyBorder="1" applyAlignment="1">
      <x:alignment vertical="center" wrapText="1"/>
    </x:xf>
    <x:xf numFmtId="0" fontId="8" fillId="0" borderId="0" xfId="0" applyNumberFormat="1" applyFont="1" applyFill="1" applyBorder="1"/>
    <x:xf numFmtId="0" fontId="9" fillId="5" borderId="0" xfId="0" applyNumberFormat="1" applyFont="1" applyFill="1" applyBorder="1"/>
    <x:xf numFmtId="0" fontId="0"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0" xfId="0" applyNumberFormat="1" applyFont="1" applyFill="1" applyBorder="1" applyAlignment="1">
      <x:alignment vertical="center" wrapText="1"/>
    </x:xf>
    <x:xf numFmtId="0" fontId="4"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vertical="center" wrapText="1"/>
    </x:xf>
    <x:xf numFmtId="0" fontId="4"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0"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5" fillId="6" borderId="0" xfId="0" applyNumberFormat="1" applyFont="1" applyFill="1" applyBorder="1"/>
    <x:xf numFmtId="0" fontId="0" fillId="0"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d4b6a9df7d4758" /><Relationship Type="http://schemas.openxmlformats.org/officeDocument/2006/relationships/theme" Target="/xl/theme/theme1.xml" Id="Ra5d54b6b18b946cd" /><Relationship Type="http://schemas.openxmlformats.org/officeDocument/2006/relationships/sharedStrings" Target="/xl/sharedStrings.xml" Id="R7a4c8ead32054b49" /><Relationship Type="http://schemas.openxmlformats.org/officeDocument/2006/relationships/worksheet" Target="/xl/worksheets/sheet1.xml" Id="R4414af3063624da1" /><Relationship Type="http://schemas.openxmlformats.org/officeDocument/2006/relationships/worksheet" Target="/xl/worksheets/sheet2.xml" Id="R3b9c78e3beb944a8" /><Relationship Type="http://schemas.openxmlformats.org/officeDocument/2006/relationships/worksheet" Target="/xl/worksheets/sheet3.xml" Id="R42d5d28a2f064ca2" /><Relationship Type="http://schemas.openxmlformats.org/officeDocument/2006/relationships/worksheet" Target="/xl/worksheets/sheet4.xml" Id="R40048d0fdc074ce7" /><Relationship Type="http://schemas.openxmlformats.org/officeDocument/2006/relationships/worksheet" Target="/xl/worksheets/sheet5.xml" Id="R00cde3f299904aac" /><Relationship Type="http://schemas.openxmlformats.org/officeDocument/2006/relationships/worksheet" Target="/xl/worksheets/sheet6.xml" Id="Rcfdda340b623488c" /><Relationship Type="http://schemas.openxmlformats.org/officeDocument/2006/relationships/worksheet" Target="/xl/worksheets/sheet7.xml" Id="R35c136ed7cdb4ee7" /><Relationship Type="http://schemas.openxmlformats.org/officeDocument/2006/relationships/worksheet" Target="/xl/worksheets/sheet8.xml" Id="Rbbc19055ac6d41a7" /></Relationships>
</file>

<file path=xl/tables/table1.xml><?xml version="1.0" encoding="utf-8"?>
<x:table xmlns:x="http://schemas.openxmlformats.org/spreadsheetml/2006/main" id="8" name="FamiliesTable" displayName="FamiliesTable" ref="A4:H18" headerRowCount="1" totalsRowCount="0" totalsRowShown="0">
  <x:tableColumns count="8">
    <x:tableColumn id="1" name="Family ID"/>
    <x:tableColumn id="2" name="Family Name"/>
    <x:tableColumn id="3" name="Layer"/>
    <x:tableColumn id="4" name="Definition"/>
    <x:tableColumn id="5" name="Inclusion Rule"/>
    <x:tableColumn id="6" name="Exclusion / Boundary Rule"/>
    <x:tableColumn id="7" name="Representative Drivers"/>
    <x:tableColumn id="8" name="Driver Count"/>
  </x:tableColumns>
  <x:tableStyleInfo name="TableStyleMedium2" showFirstColumn="0" showLastColumn="0" showRowStripes="1" showColumnStripes="0"/>
</x:table>
</file>

<file path=xl/tables/table2.xml><?xml version="1.0" encoding="utf-8"?>
<x:table xmlns:x="http://schemas.openxmlformats.org/spreadsheetml/2006/main" id="9" name="DriversTable" displayName="DriversTable" ref="A4:AA135" headerRowCount="1" totalsRowCount="0" totalsRowShown="0">
  <x:tableColumns count="27">
    <x:tableColumn id="1" name="ID"/>
    <x:tableColumn id="2" name="Name"/>
    <x:tableColumn id="3" name="Other Names / Aliases"/>
    <x:tableColumn id="4" name="Layer"/>
    <x:tableColumn id="5" name="Family"/>
    <x:tableColumn id="6" name="Definition"/>
    <x:tableColumn id="7" name="Data Type"/>
    <x:tableColumn id="8" name="Representation / Scale"/>
    <x:tableColumn id="9" name="Polarity / Direction of Interpretation"/>
    <x:tableColumn id="10" name="Mechanism"/>
    <x:tableColumn id="11" name="Likely Upstream Influences"/>
    <x:tableColumn id="12" name="Likely Downstream Influences"/>
    <x:tableColumn id="13" name="Moderators / Boundary Conditions"/>
    <x:tableColumn id="14" name="Typical Interaction Candidates"/>
    <x:tableColumn id="15" name="Modifiability / Malleability"/>
    <x:tableColumn id="16" name="Volatility"/>
    <x:tableColumn id="17" name="Time Scale of Change"/>
    <x:tableColumn id="18" name="Onset / Causal Lag"/>
    <x:tableColumn id="19" name="Persistence / Recovery"/>
    <x:tableColumn id="20" name="Indicators"/>
    <x:tableColumn id="21" name="Measurement / Assessment Methods"/>
    <x:tableColumn id="22" name="Observability"/>
    <x:tableColumn id="23" name="Measurement Caveats"/>
    <x:tableColumn id="24" name="Evidence Strength"/>
    <x:tableColumn id="25" name="Evidence Notes"/>
    <x:tableColumn id="26" name="Common Misinterpretations"/>
    <x:tableColumn id="27" name="Key Sources"/>
  </x:tableColumns>
  <x:tableStyleInfo name="TableStyleMedium2" showFirstColumn="0" showLastColumn="0" showRowStripes="1" showColumnStripes="0"/>
</x:table>
</file>

<file path=xl/tables/table3.xml><?xml version="1.0" encoding="utf-8"?>
<x:table xmlns:x="http://schemas.openxmlformats.org/spreadsheetml/2006/main" id="10" name="EvidenceTable" displayName="EvidenceTable" ref="A4:M105" headerRowCount="1" totalsRowCount="0" totalsRowShown="0">
  <x:tableColumns count="13">
    <x:tableColumn id="1" name="Evidence ID"/>
    <x:tableColumn id="2" name="Linked Driver IDs"/>
    <x:tableColumn id="3" name="Family / Domain"/>
    <x:tableColumn id="4" name="Citation / Title"/>
    <x:tableColumn id="5" name="Year"/>
    <x:tableColumn id="6" name="Evidence Type"/>
    <x:tableColumn id="7" name="Population"/>
    <x:tableColumn id="8" name="Finding"/>
    <x:tableColumn id="9" name="Direction / Effect"/>
    <x:tableColumn id="10" name="Limitations"/>
    <x:tableColumn id="11" name="Evidence Strength"/>
    <x:tableColumn id="12" name="Source URL"/>
    <x:tableColumn id="13" name="Verification Note"/>
  </x:tableColumns>
  <x:tableStyleInfo name="TableStyleMedium2" showFirstColumn="0" showLastColumn="0" showRowStripes="1" showColumnStripes="0"/>
</x:table>
</file>

<file path=xl/tables/table4.xml><?xml version="1.0" encoding="utf-8"?>
<x:table xmlns:x="http://schemas.openxmlformats.org/spreadsheetml/2006/main" id="11" name="RelationshipsTable" displayName="RelationshipsTable" ref="A4:M60" headerRowCount="1" totalsRowCount="0" totalsRowShown="0">
  <x:tableColumns count="13">
    <x:tableColumn id="1" name="Relationship ID"/>
    <x:tableColumn id="2" name="Source Driver ID"/>
    <x:tableColumn id="3" name="Source Driver"/>
    <x:tableColumn id="4" name="Target Driver ID"/>
    <x:tableColumn id="5" name="Target Driver"/>
    <x:tableColumn id="6" name="Relationship Type"/>
    <x:tableColumn id="7" name="Expected Direction"/>
    <x:tableColumn id="8" name="Functional Form"/>
    <x:tableColumn id="9" name="Moderators / Conditions"/>
    <x:tableColumn id="10" name="Time Lag"/>
    <x:tableColumn id="11" name="Evidence Strength"/>
    <x:tableColumn id="12" name="Evidence Notes"/>
    <x:tableColumn id="13" name="Evidence IDs"/>
  </x:tableColumns>
  <x:tableStyleInfo name="TableStyleMedium2" showFirstColumn="0" showLastColumn="0" showRowStripes="1" showColumnStripes="0"/>
</x:table>
</file>

<file path=xl/tables/table5.xml><?xml version="1.0" encoding="utf-8"?>
<x:table xmlns:x="http://schemas.openxmlformats.org/spreadsheetml/2006/main" id="12" name="OperationalizationsTable" displayName="OperationalizationsTable" ref="A4:I397" headerRowCount="1" totalsRowCount="0" totalsRowShown="0">
  <x:tableColumns count="9">
    <x:tableColumn id="1" name="Operationalization ID"/>
    <x:tableColumn id="2" name="Driver ID"/>
    <x:tableColumn id="3" name="Driver Name"/>
    <x:tableColumn id="4" name="Indicator / Measure"/>
    <x:tableColumn id="5" name="Method Type"/>
    <x:tableColumn id="6" name="Representation / Scale"/>
    <x:tableColumn id="7" name="Observability"/>
    <x:tableColumn id="8" name="Measurement Caveats"/>
    <x:tableColumn id="9" name="Evidence IDs"/>
  </x:tableColumns>
  <x:tableStyleInfo name="TableStyleMedium2" showFirstColumn="0" showLastColumn="0" showRowStripes="1" showColumnStripes="0"/>
</x:table>
</file>

<file path=xl/tables/table6.xml><?xml version="1.0" encoding="utf-8"?>
<x:table xmlns:x="http://schemas.openxmlformats.org/spreadsheetml/2006/main" id="13" name="CautionsTable" displayName="CautionsTable" ref="A4:H112" headerRowCount="1" totalsRowCount="0" totalsRowShown="0">
  <x:tableColumns count="8">
    <x:tableColumn id="1" name="Record ID"/>
    <x:tableColumn id="2" name="Candidate / Claim"/>
    <x:tableColumn id="3" name="Record Type"/>
    <x:tableColumn id="4" name="Disposition"/>
    <x:tableColumn id="5" name="Canonical Target ID"/>
    <x:tableColumn id="6" name="Rationale / Rule"/>
    <x:tableColumn id="7" name="Evidence / Notes"/>
    <x:tableColumn id="8" name="Cross-Layer Flag"/>
  </x:tableColumns>
  <x:tableStyleInfo name="TableStyleMedium2" showFirstColumn="0" showLastColumn="0" showRowStripes="1" showColumnStripes="0"/>
</x:table>
</file>

<file path=xl/tables/table7.xml><?xml version="1.0" encoding="utf-8"?>
<x:table xmlns:x="http://schemas.openxmlformats.org/spreadsheetml/2006/main" id="7" name="CodebookTable" displayName="CodebookTable" ref="A4:F50" headerRowCount="1" totalsRowCount="0" totalsRowShown="0">
  <x:autoFilter ref="A4:F50"/>
  <x:tableColumns count="6">
    <x:tableColumn id="1" name="Sheet"/>
    <x:tableColumn id="2" name="Field"/>
    <x:tableColumn id="3" name="Definition"/>
    <x:tableColumn id="4" name="Allowed Values / Format"/>
    <x:tableColumn id="5" name="Required"/>
    <x:tableColumn id="6" name="Rule / 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e315a4bf8464452" /></Relationships>
</file>

<file path=xl/worksheets/_rels/sheet3.xml.rels>&#65279;<?xml version="1.0" encoding="utf-8"?><Relationships xmlns="http://schemas.openxmlformats.org/package/2006/relationships"><Relationship Type="http://schemas.openxmlformats.org/officeDocument/2006/relationships/table" Target="/xl/tables/table2.xml" Id="R9ebd8d1c908249de" /></Relationships>
</file>

<file path=xl/worksheets/_rels/sheet4.xml.rels>&#65279;<?xml version="1.0" encoding="utf-8"?><Relationships xmlns="http://schemas.openxmlformats.org/package/2006/relationships"><Relationship Type="http://schemas.openxmlformats.org/officeDocument/2006/relationships/table" Target="/xl/tables/table3.xml" Id="Rcefbe894a69e472c" /></Relationships>
</file>

<file path=xl/worksheets/_rels/sheet5.xml.rels>&#65279;<?xml version="1.0" encoding="utf-8"?><Relationships xmlns="http://schemas.openxmlformats.org/package/2006/relationships"><Relationship Type="http://schemas.openxmlformats.org/officeDocument/2006/relationships/table" Target="/xl/tables/table4.xml" Id="R3eb876adeedc42bd" /></Relationships>
</file>

<file path=xl/worksheets/_rels/sheet6.xml.rels>&#65279;<?xml version="1.0" encoding="utf-8"?><Relationships xmlns="http://schemas.openxmlformats.org/package/2006/relationships"><Relationship Type="http://schemas.openxmlformats.org/officeDocument/2006/relationships/table" Target="/xl/tables/table5.xml" Id="Rca6905e50fb3437b" /></Relationships>
</file>

<file path=xl/worksheets/_rels/sheet7.xml.rels>&#65279;<?xml version="1.0" encoding="utf-8"?><Relationships xmlns="http://schemas.openxmlformats.org/package/2006/relationships"><Relationship Type="http://schemas.openxmlformats.org/officeDocument/2006/relationships/table" Target="/xl/tables/table6.xml" Id="R8bf1feac0ce64b50" /></Relationships>
</file>

<file path=xl/worksheets/_rels/sheet8.xml.rels>&#65279;<?xml version="1.0" encoding="utf-8"?><Relationships xmlns="http://schemas.openxmlformats.org/package/2006/relationships"><Relationship Type="http://schemas.openxmlformats.org/officeDocument/2006/relationships/table" Target="/xl/tables/table7.xml" Id="Ree456e3ecfee447a"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2" hidden="0" customWidth="1"/>
    <x:col min="3" max="3" width="22" hidden="0" customWidth="1"/>
    <x:col min="4" max="4" width="25" hidden="0" customWidth="1"/>
    <x:col min="5" max="5" width="22" hidden="0" customWidth="1"/>
    <x:col min="6" max="6" width="48" hidden="0" customWidth="1"/>
    <x:col min="7" max="7" width="22" hidden="0" customWidth="1"/>
    <x:col min="8" max="8" width="13" hidden="0" customWidth="1"/>
  </x:cols>
  <x:sheetData>
    <x:row r="1" ht="30" customHeight="1">
      <x:c r="A1" s="45" t="str">
        <x:v>PSYWERX Psychological Driver Ontology — Layer 2 (v1.0)</x:v>
      </x:c>
      <x:c r="B1" s="45"/>
      <x:c r="C1" s="45"/>
      <x:c r="D1" s="45"/>
      <x:c r="E1" s="45"/>
      <x:c r="F1" s="45"/>
      <x:c r="G1" s="45"/>
      <x:c r="H1" s="45"/>
    </x:row>
    <x:row r="2" ht="44" customHeight="1">
      <x:c r="A2" s="48" t="str">
        <x:v>Rebuilt under PSYWERX Driver Ontology Standard v1.0 and the frozen Layer 1 workbook architecture. Psychological influence is context-dependent, probabilistic, and cross-layer rather than sufficient or deterministic.</x:v>
      </x:c>
      <x:c r="B2" s="48"/>
      <x:c r="C2" s="48"/>
      <x:c r="D2" s="48"/>
      <x:c r="E2" s="48"/>
      <x:c r="F2" s="48"/>
      <x:c r="G2" s="48"/>
      <x:c r="H2" s="48"/>
    </x:row>
    <x:row r="3" ht="8" customHeight="1">
      <x:c r="A3" s="65"/>
      <x:c r="B3" s="65"/>
      <x:c r="C3" s="65"/>
      <x:c r="D3" s="65"/>
      <x:c r="E3" s="65"/>
      <x:c r="F3" s="65"/>
      <x:c r="G3" s="65"/>
      <x:c r="H3" s="65"/>
    </x:row>
    <x:row r="4" ht="36" customHeight="1">
      <x:c r="A4" s="51" t="str">
        <x:v>Field</x:v>
      </x:c>
      <x:c r="B4" s="51" t="str">
        <x:v>Value</x:v>
      </x:c>
      <x:c r="C4" s="65"/>
      <x:c r="D4" s="51" t="str">
        <x:v>Metric</x:v>
      </x:c>
      <x:c r="E4" s="51" t="str">
        <x:v>Value</x:v>
      </x:c>
      <x:c r="F4" s="65"/>
      <x:c r="G4" s="51" t="str">
        <x:v>Evidence Strength</x:v>
      </x:c>
      <x:c r="H4" s="51" t="str">
        <x:v>Count</x:v>
      </x:c>
    </x:row>
    <x:row r="5" ht="44" customHeight="1">
      <x:c r="A5" s="65" t="str">
        <x:v>Layer</x:v>
      </x:c>
      <x:c r="B5" s="65" t="str">
        <x:v>Psychological</x:v>
      </x:c>
      <x:c r="C5" s="65"/>
      <x:c r="D5" s="65" t="str">
        <x:v>Canonical drivers</x:v>
      </x:c>
      <x:c r="E5" s="65" t="n">
        <x:f>COUNTA('Drivers'!A5:A135)</x:f>
        <x:v>131</x:v>
      </x:c>
      <x:c r="F5" s="65"/>
      <x:c r="G5" s="65" t="str">
        <x:v>Strong</x:v>
      </x:c>
      <x:c r="H5" s="65" t="n">
        <x:f>COUNTIF('Drivers'!X5:X135,"Strong")</x:f>
        <x:v>87</x:v>
      </x:c>
    </x:row>
    <x:row r="6" ht="44" customHeight="1">
      <x:c r="A6" s="65" t="str">
        <x:v>Layer definition</x:v>
      </x:c>
      <x:c r="B6" s="65" t="str">
        <x:v>Internal cognitive, affective, motivational, learned, self-regulatory, identity-related, attributional, and dispositional variables through which individuals interpret situations and initiate, select, sustain, inhibit, or revise behavior.</x:v>
      </x:c>
      <x:c r="C6" s="65"/>
      <x:c r="D6" s="65" t="str">
        <x:v>Families</x:v>
      </x:c>
      <x:c r="E6" s="65" t="n">
        <x:f>COUNTA('Families'!A5:A18)</x:f>
        <x:v>14</x:v>
      </x:c>
      <x:c r="F6" s="65"/>
      <x:c r="G6" s="65" t="str">
        <x:v>Moderate</x:v>
      </x:c>
      <x:c r="H6" s="65" t="n">
        <x:f>COUNTIF('Drivers'!X5:X135,"Moderate")</x:f>
        <x:v>44</x:v>
      </x:c>
    </x:row>
    <x:row r="7" ht="44" customHeight="1">
      <x:c r="A7" s="65" t="str">
        <x:v>Scope</x:v>
      </x:c>
      <x:c r="B7" s="65" t="str">
        <x:v>Internal psychological representations and variable states, including beliefs, appraisals, perceived norms and relationships, motivation, emotion, cognition, learning, self-regulation, decision parameters, identity, moral judgment, persuasion, and bounded dispositional tendencies.</x:v>
      </x:c>
      <x:c r="C7" s="65"/>
      <x:c r="D7" s="65" t="str">
        <x:v>Evidence records</x:v>
      </x:c>
      <x:c r="E7" s="65" t="n">
        <x:f>COUNTA('Evidence Library'!A5:A105)</x:f>
        <x:v>101</x:v>
      </x:c>
      <x:c r="F7" s="65"/>
      <x:c r="G7" s="65" t="str">
        <x:v>Emerging</x:v>
      </x:c>
      <x:c r="H7" s="65" t="n">
        <x:f>COUNTIF('Drivers'!X5:X135,"Emerging")</x:f>
        <x:v>0</x:v>
      </x:c>
    </x:row>
    <x:row r="8" ht="44" customHeight="1">
      <x:c r="A8" s="65" t="str">
        <x:v>Boundary with other layers</x:v>
      </x:c>
      <x:c r="B8" s="65" t="str">
        <x:v>External social structures, cultural meanings, objective environmental constraints, institutional rules, information properties, technologies, physiological states, demographic labels, behaviors, outcomes, and measurement artifacts are excluded as canonical Psychological drivers.</x:v>
      </x:c>
      <x:c r="C8" s="65"/>
      <x:c r="D8" s="65" t="str">
        <x:v>Relationships</x:v>
      </x:c>
      <x:c r="E8" s="65" t="n">
        <x:f>COUNTA('Relationships'!A5:A60)</x:f>
        <x:v>56</x:v>
      </x:c>
      <x:c r="F8" s="65"/>
      <x:c r="G8" s="65" t="str">
        <x:v>Mixed</x:v>
      </x:c>
      <x:c r="H8" s="65" t="n">
        <x:f>COUNTIF('Drivers'!X5:X135,"Mixed")</x:f>
        <x:v>0</x:v>
      </x:c>
    </x:row>
    <x:row r="9" ht="44" customHeight="1">
      <x:c r="A9" s="65" t="str">
        <x:v>Ontology Standard Version</x:v>
      </x:c>
      <x:c r="B9" s="65" t="str">
        <x:v>PSYWERX Driver Ontology Standard v1.0</x:v>
      </x:c>
      <x:c r="C9" s="65"/>
      <x:c r="D9" s="65" t="str">
        <x:v>Operationalizations</x:v>
      </x:c>
      <x:c r="E9" s="65" t="n">
        <x:f>COUNTA('Operationalizations'!A5:A397)</x:f>
        <x:v>393</x:v>
      </x:c>
      <x:c r="F9" s="65"/>
      <x:c r="G9" s="65" t="str">
        <x:v>Limited</x:v>
      </x:c>
      <x:c r="H9" s="65" t="n">
        <x:f>COUNTIF('Drivers'!X5:X135,"Limited")</x:f>
        <x:v>0</x:v>
      </x:c>
    </x:row>
    <x:row r="10" ht="44" customHeight="1">
      <x:c r="A10" s="65" t="str">
        <x:v>Layer Taxonomy Version</x:v>
      </x:c>
      <x:c r="B10" s="65" t="str">
        <x:v>Psychological v1.0</x:v>
      </x:c>
      <x:c r="C10" s="65"/>
      <x:c r="D10" s="65" t="str">
        <x:v>Cross-layer review flags</x:v>
      </x:c>
      <x:c r="E10" s="65" t="n">
        <x:f>COUNTA('Cautions &amp; Exclusions'!H5:H112)</x:f>
        <x:v>108</x:v>
      </x:c>
      <x:c r="F10" s="65"/>
      <x:c r="G10" s="65" t="str">
        <x:v>Total</x:v>
      </x:c>
      <x:c r="H10" s="65" t="n">
        <x:f>COUNTA('Drivers'!A5:A135)</x:f>
        <x:v>131</x:v>
      </x:c>
    </x:row>
    <x:row r="11" ht="44" customHeight="1">
      <x:c r="A11" s="65" t="str">
        <x:v>Creation Date</x:v>
      </x:c>
      <x:c r="B11" s="67" t="n">
        <x:v>46259</x:v>
      </x:c>
      <x:c r="C11" s="65"/>
      <x:c r="D11" s="65"/>
      <x:c r="E11" s="65"/>
      <x:c r="F11" s="65"/>
      <x:c r="G11" s="65"/>
      <x:c r="H11" s="65"/>
    </x:row>
    <x:row r="12" ht="44" customHeight="1">
      <x:c r="A12" s="65" t="str">
        <x:v>Last Review Date</x:v>
      </x:c>
      <x:c r="B12" s="67" t="n">
        <x:v>46259</x:v>
      </x:c>
      <x:c r="C12" s="65"/>
      <x:c r="D12" s="65"/>
      <x:c r="E12" s="65"/>
      <x:c r="F12" s="65"/>
      <x:c r="G12" s="65"/>
      <x:c r="H12" s="65"/>
    </x:row>
    <x:row r="13" ht="44" customHeight="1">
      <x:c r="A13" s="65" t="str">
        <x:v>Known gaps</x:v>
      </x:c>
      <x:c r="B13" s="65" t="str">
        <x:v>The evidence library is representative rather than a newly conducted systematic review for every construct. Relationship coverage is conservative, dispositional entries require facet-level refinement for some applications, and flagged boundaries must be revisited during ontology-wide harmonization.</x:v>
      </x:c>
      <x:c r="C13" s="65"/>
      <x:c r="D13" s="65"/>
      <x:c r="E13" s="65"/>
      <x:c r="F13" s="65"/>
      <x:c r="G13" s="65"/>
      <x:c r="H13" s="65"/>
    </x:row>
    <x:row r="14" ht="8" customHeight="1">
      <x:c r="A14" s="65"/>
      <x:c r="B14" s="65"/>
      <x:c r="C14" s="65"/>
      <x:c r="D14" s="65"/>
      <x:c r="E14" s="65"/>
      <x:c r="F14" s="65"/>
      <x:c r="G14" s="65"/>
      <x:c r="H14" s="65"/>
    </x:row>
    <x:row r="15" ht="26" customHeight="1">
      <x:c r="A15" s="66" t="str">
        <x:v>Migration decisions</x:v>
      </x:c>
      <x:c r="B15" s="66"/>
      <x:c r="C15" s="66"/>
      <x:c r="D15" s="66"/>
      <x:c r="E15" s="66"/>
      <x:c r="F15" s="66"/>
      <x:c r="G15" s="66"/>
      <x:c r="H15" s="66"/>
    </x:row>
    <x:row r="16" ht="38" customHeight="1">
      <x:c r="A16" s="51" t="str">
        <x:v>Decision</x:v>
      </x:c>
      <x:c r="B16" s="51" t="str">
        <x:v>Reason</x:v>
      </x:c>
      <x:c r="C16" s="51" t="str">
        <x:v>Affected legacy items</x:v>
      </x:c>
      <x:c r="D16" s="51" t="str">
        <x:v>Result</x:v>
      </x:c>
      <x:c r="E16" s="51" t="str">
        <x:v>Standard impact</x:v>
      </x:c>
      <x:c r="F16" s="51" t="str">
        <x:v>Cross-layer impact</x:v>
      </x:c>
      <x:c r="G16" s="65"/>
      <x:c r="H16" s="65"/>
    </x:row>
    <x:row r="17" ht="82" customHeight="1">
      <x:c r="A17" s="65" t="str">
        <x:v>Retain validated variables</x:v>
      </x:c>
      <x:c r="B17" s="65" t="str">
        <x:v>Legacy constructs already met the variable, distinctiveness, and operationalization tests.</x:v>
      </x:c>
      <x:c r="C17" s="65" t="n">
        <x:v>35</x:v>
      </x:c>
      <x:c r="D17" s="65" t="str">
        <x:v>Retained with standardized definitions and full canonical fields.</x:v>
      </x:c>
      <x:c r="E17" s="65" t="str">
        <x:v>None</x:v>
      </x:c>
      <x:c r="F17" s="65" t="str">
        <x:v>Boundaries clarified where perceived and external variables differ.</x:v>
      </x:c>
      <x:c r="G17" s="65"/>
      <x:c r="H17" s="65"/>
    </x:row>
    <x:row r="18" ht="82" customHeight="1">
      <x:c r="A18" s="65" t="str">
        <x:v>Normalize names and states</x:v>
      </x:c>
      <x:c r="B18" s="65" t="str">
        <x:v>State labels, compounds, and broad process names were recast as directionally interpretable variables.</x:v>
      </x:c>
      <x:c r="C18" s="65" t="n">
        <x:v>40</x:v>
      </x:c>
      <x:c r="D18" s="65" t="str">
        <x:v>Canonical names now identify what varies.</x:v>
      </x:c>
      <x:c r="E18" s="65" t="str">
        <x:v>None</x:v>
      </x:c>
      <x:c r="F18" s="65" t="str">
        <x:v>Subjective arousal, construal, salience, and source judgment explicitly bounded.</x:v>
      </x:c>
      <x:c r="G18" s="65"/>
      <x:c r="H18" s="65"/>
    </x:row>
    <x:row r="19" ht="82" customHeight="1">
      <x:c r="A19" s="65" t="str">
        <x:v>Merge duplicate constructs</x:v>
      </x:c>
      <x:c r="B19" s="65" t="str">
        <x:v>Aliases or overlapping accessibility/uncertainty labels should not become independent drivers.</x:v>
      </x:c>
      <x:c r="C19" s="65" t="n">
        <x:v>3</x:v>
      </x:c>
      <x:c r="D19" s="65" t="str">
        <x:v>Merged with all legacy provenance preserved in Cautions &amp; Exclusions.</x:v>
      </x:c>
      <x:c r="E19" s="65" t="str">
        <x:v>None</x:v>
      </x:c>
      <x:c r="F19" s="65" t="str">
        <x:v>No duplicate cross-layer nodes introduced.</x:v>
      </x:c>
      <x:c r="G19" s="65"/>
      <x:c r="H19" s="65"/>
    </x:row>
    <x:row r="20" ht="82" customHeight="1">
      <x:c r="A20" s="65" t="str">
        <x:v>Split compound candidates</x:v>
      </x:c>
      <x:c r="B20" s="65" t="str">
        <x:v>Compound legacy labels failed atomicity or mixed an upstream condition with an internal state.</x:v>
      </x:c>
      <x:c r="C20" s="65" t="n">
        <x:v>2</x:v>
      </x:c>
      <x:c r="D20" s="65" t="str">
        <x:v>Separated canonical variables or retained only the psychological component.</x:v>
      </x:c>
      <x:c r="E20" s="65" t="str">
        <x:v>None</x:v>
      </x:c>
      <x:c r="F20" s="65" t="str">
        <x:v>Prior warning remains an Informational upstream condition.</x:v>
      </x:c>
      <x:c r="G20" s="65"/>
      <x:c r="H20" s="65"/>
    </x:row>
    <x:row r="21" ht="82" customHeight="1">
      <x:c r="A21" s="65" t="str">
        <x:v>Add missing high-value variables</x:v>
      </x:c>
      <x:c r="B21" s="65" t="str">
        <x:v>The source workbook omitted several well-established normative, relational, identity, executive-control, moral, and dispositional variables.</x:v>
      </x:c>
      <x:c r="C21" s="65" t="str">
        <x:v>None; gap review</x:v>
      </x:c>
      <x:c r="D21" s="65" t="str">
        <x:v>53 new canonical drivers added after gap review.</x:v>
      </x:c>
      <x:c r="E21" s="65" t="str">
        <x:v>None</x:v>
      </x:c>
      <x:c r="F21" s="65" t="str">
        <x:v>External counterparts remain in their native layers.</x:v>
      </x:c>
      <x:c r="G21" s="65"/>
      <x:c r="H21" s="65"/>
    </x:row>
    <x:row r="22" ht="82" customHeight="1">
      <x:c r="A22" s="65" t="str">
        <x:v>Preserve global ID uniqueness</x:v>
      </x:c>
      <x:c r="B22" s="65" t="str">
        <x:v>Layer 1 already used evidence and audit namespaces without layer prefixes.</x:v>
      </x:c>
      <x:c r="C22" s="65" t="str">
        <x:v>Evidence and caution records</x:v>
      </x:c>
      <x:c r="D22" s="65" t="str">
        <x:v>Evidence begins at SRC107; scientific cautions at CAU-025; migrations at MIG-082.</x:v>
      </x:c>
      <x:c r="E22" s="65" t="str">
        <x:v>None</x:v>
      </x:c>
      <x:c r="F22" s="65" t="str">
        <x:v>Direct combination with the completed Biological workbook avoids identifier collisions.</x:v>
      </x:c>
      <x:c r="G22" s="65"/>
      <x:c r="H22" s="65"/>
    </x:row>
  </x:sheetData>
  <x:mergeCells>
    <x:mergeCell ref="A1:H1"/>
    <x:mergeCell ref="A2:H2"/>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16" hidden="0" customWidth="1"/>
    <x:col min="4" max="4" width="46" hidden="0" customWidth="1"/>
    <x:col min="5" max="5" width="42" hidden="0" customWidth="1"/>
    <x:col min="6" max="6" width="46" hidden="0" customWidth="1"/>
    <x:col min="7" max="7" width="42" hidden="0" customWidth="1"/>
    <x:col min="8" max="8" width="13" hidden="0" customWidth="1"/>
  </x:cols>
  <x:sheetData>
    <x:row r="1" ht="30" customHeight="1">
      <x:c r="A1" s="46" t="str">
        <x:v>PSYWERX Psychological Driver Ontology — Families</x:v>
      </x:c>
      <x:c r="B1" s="46"/>
      <x:c r="C1" s="46"/>
      <x:c r="D1" s="46"/>
      <x:c r="E1" s="46"/>
      <x:c r="F1" s="46"/>
      <x:c r="G1" s="46"/>
      <x:c r="H1" s="46"/>
    </x:row>
    <x:row r="2" ht="42" customHeight="1">
      <x:c r="A2" s="49" t="str">
        <x:v>Organizational groupings are scientifically coherent classes of Psychological variables, not causal nodes. Every driver has exactly one primary family.</x:v>
      </x:c>
      <x:c r="B2" s="49"/>
      <x:c r="C2" s="49"/>
      <x:c r="D2" s="49"/>
      <x:c r="E2" s="49"/>
      <x:c r="F2" s="49"/>
      <x:c r="G2" s="49"/>
      <x:c r="H2" s="49"/>
    </x:row>
    <x:row r="3" ht="8" customHeight="1">
      <x:c r="A3" s="43"/>
      <x:c r="B3" s="43"/>
      <x:c r="C3" s="43"/>
      <x:c r="D3" s="43"/>
      <x:c r="E3" s="43"/>
      <x:c r="F3" s="43"/>
      <x:c r="G3" s="43"/>
      <x:c r="H3" s="43"/>
    </x:row>
    <x:row r="4" ht="46" customHeight="1">
      <x:c r="A4" s="52" t="str">
        <x:v>Family ID</x:v>
      </x:c>
      <x:c r="B4" s="52" t="str">
        <x:v>Family Name</x:v>
      </x:c>
      <x:c r="C4" s="52" t="str">
        <x:v>Layer</x:v>
      </x:c>
      <x:c r="D4" s="52" t="str">
        <x:v>Definition</x:v>
      </x:c>
      <x:c r="E4" s="52" t="str">
        <x:v>Inclusion Rule</x:v>
      </x:c>
      <x:c r="F4" s="52" t="str">
        <x:v>Exclusion / Boundary Rule</x:v>
      </x:c>
      <x:c r="G4" s="52" t="str">
        <x:v>Representative Drivers</x:v>
      </x:c>
      <x:c r="H4" s="52" t="str">
        <x:v>Driver Count</x:v>
      </x:c>
    </x:row>
    <x:row r="5" ht="60" customHeight="1">
      <x:c r="A5" s="43" t="str">
        <x:v>PSY-F01</x:v>
      </x:c>
      <x:c r="B5" s="43" t="str">
        <x:v>Beliefs, Attitudes &amp; Outcome Expectancies</x:v>
      </x:c>
      <x:c r="C5" s="43" t="str">
        <x:v>Psychological</x:v>
      </x:c>
      <x:c r="D5" s="43" t="str">
        <x:v>Evaluative and propositional variables representing what a person believes about an action, its consequences, and its personal relevance.</x:v>
      </x:c>
      <x:c r="E5" s="43" t="str">
        <x:v>Behavior-specific evaluations, belief confidence, expected consequences, expected success, relevance, and outcome value.</x:v>
      </x:c>
      <x:c r="F5" s="43" t="str">
        <x:v>Threat/coping appraisals (F02), source judgments (F13), knowledge structures (F07), and goals or intentions (F04).</x:v>
      </x:c>
      <x:c r="G5" s="43" t="str">
        <x:v>Attitude Valence; Attitude Strength; Belief Strength; Outcome Expectancy; Outcome Valuation; Success Expectancy</x:v>
      </x:c>
      <x:c r="H5" s="43" t="n">
        <x:v>7</x:v>
      </x:c>
    </x:row>
    <x:row r="6" ht="60" customHeight="1">
      <x:c r="A6" s="43" t="str">
        <x:v>PSY-F02</x:v>
      </x:c>
      <x:c r="B6" s="43" t="str">
        <x:v>Risk, Threat &amp; Coping Appraisal</x:v>
      </x:c>
      <x:c r="C6" s="43" t="str">
        <x:v>Psychological</x:v>
      </x:c>
      <x:c r="D6" s="43" t="str">
        <x:v>Subjective appraisals of likelihood, severity, control, efficacy, capability, and helplessness in relation to threats or difficult demands.</x:v>
      </x:c>
      <x:c r="E6" s="43" t="str">
        <x:v>Perceived vulnerability, severity, controllability, response efficacy, personal capability, and coping capacity.</x:v>
      </x:c>
      <x:c r="F6" s="43" t="str">
        <x:v>Objective hazards, physiological stress responses, general affect, and stable punishment sensitivity.</x:v>
      </x:c>
      <x:c r="G6" s="43" t="str">
        <x:v>Perceived Outcome Likelihood; Perceived Threat Severity; Response Efficacy; Self-Efficacy; Perceived Behavioral Control; Perceived Controllability</x:v>
      </x:c>
      <x:c r="H6" s="43" t="n">
        <x:v>8</x:v>
      </x:c>
    </x:row>
    <x:row r="7" ht="60" customHeight="1">
      <x:c r="A7" s="43" t="str">
        <x:v>PSY-F03</x:v>
      </x:c>
      <x:c r="B7" s="43" t="str">
        <x:v>Normative &amp; Relational Perceptions</x:v>
      </x:c>
      <x:c r="C7" s="43" t="str">
        <x:v>Psychological</x:v>
      </x:c>
      <x:c r="D7" s="43" t="str">
        <x:v>Internal perceptions of what others do or approve, and of the quality, fairness, legitimacy, support, and standing experienced in relationships or groups.</x:v>
      </x:c>
      <x:c r="E7" s="43" t="str">
        <x:v>Perceived norms, approval, support, belonging, trust, fairness, legitimacy, exclusion, and status.</x:v>
      </x:c>
      <x:c r="F7" s="43" t="str">
        <x:v>Actual network structure, observed group behavior, institutional rules, or cultural norms as external conditions.</x:v>
      </x:c>
      <x:c r="G7" s="43" t="str">
        <x:v>Perceived Descriptive Norm; Perceived Injunctive Norm; Anticipated Social Approval; Perceived Social Support; Perceived Belonging; Interpersonal Trust</x:v>
      </x:c>
      <x:c r="H7" s="43" t="n">
        <x:v>10</x:v>
      </x:c>
    </x:row>
    <x:row r="8" ht="60" customHeight="1">
      <x:c r="A8" s="43" t="str">
        <x:v>PSY-F04</x:v>
      </x:c>
      <x:c r="B8" s="43" t="str">
        <x:v>Motivation, Goals &amp; Psychological Needs</x:v>
      </x:c>
      <x:c r="C8" s="43" t="str">
        <x:v>Psychological</x:v>
      </x:c>
      <x:c r="D8" s="43" t="str">
        <x:v>Variables that energize, direct, prioritize, and sustain intended action, including goal properties and experienced need satisfaction.</x:v>
      </x:c>
      <x:c r="E8" s="43" t="str">
        <x:v>Intentions, goal attributes, motivational regulation, approach/avoidance orientation, need satisfaction, and anticipated regret.</x:v>
      </x:c>
      <x:c r="F8" s="43" t="str">
        <x:v>Action plans and monitoring processes (F09), trait dispositions (F14), or outcome expectancies (F01).</x:v>
      </x:c>
      <x:c r="G8" s="43" t="str">
        <x:v>Intention Strength; Goal Commitment; Goal Specificity; Goal Difficulty; Goal Conflict; Goal Priority</x:v>
      </x:c>
      <x:c r="H8" s="43" t="n">
        <x:v>15</x:v>
      </x:c>
    </x:row>
    <x:row r="9" ht="60" customHeight="1">
      <x:c r="A9" s="43" t="str">
        <x:v>PSY-F05</x:v>
      </x:c>
      <x:c r="B9" s="43" t="str">
        <x:v>Affect &amp; Emotion</x:v>
      </x:c>
      <x:c r="C9" s="43" t="str">
        <x:v>Psychological</x:v>
      </x:c>
      <x:c r="D9" s="43" t="str">
        <x:v>Subjective affective states whose intensity, valence, or activation can alter appraisal, attention, choice, and action readiness.</x:v>
      </x:c>
      <x:c r="E9" s="43" t="str">
        <x:v>Discrete emotions, mood valence, subjective arousal, stress, frustration, empathy-related affect, and enjoyment.</x:v>
      </x:c>
      <x:c r="F9" s="43" t="str">
        <x:v>Physiological arousal as a biological variable, emotion-regulation processes, and stable affective traits.</x:v>
      </x:c>
      <x:c r="G9" s="43" t="str">
        <x:v>Fear Intensity; Anxiety Intensity; Anger Intensity; Disgust Intensity; Shame Intensity; Guilt Intensity</x:v>
      </x:c>
      <x:c r="H9" s="43" t="n">
        <x:v>14</x:v>
      </x:c>
    </x:row>
    <x:row r="10" ht="60" customHeight="1">
      <x:c r="A10" s="43" t="str">
        <x:v>PSY-F06</x:v>
      </x:c>
      <x:c r="B10" s="43" t="str">
        <x:v>Attention &amp; Cognitive Processing</x:v>
      </x:c>
      <x:c r="C10" s="43" t="str">
        <x:v>Psychological</x:v>
      </x:c>
      <x:c r="D10" s="43" t="str">
        <x:v>State variables governing allocation of attention, available processing capacity, representational framing, elaboration, and processing ease or flexibility.</x:v>
      </x:c>
      <x:c r="E10" s="43" t="str">
        <x:v>Attention allocation, salience, cognitive load, working-memory availability, elaboration, construal, fluency, and cognitive flexibility.</x:v>
      </x:c>
      <x:c r="F10" s="43" t="str">
        <x:v>Stored knowledge or memory representations (F07), executive self-regulation (F09), and stable need for cognition (F14).</x:v>
      </x:c>
      <x:c r="G10" s="43" t="str">
        <x:v>Selective Attention Allocation; Attentional Salience; Cognitive Load; Working Memory Availability; Elaboration Depth; Construal Frame</x:v>
      </x:c>
      <x:c r="H10" s="43" t="n">
        <x:v>8</x:v>
      </x:c>
    </x:row>
    <x:row r="11" ht="60" customHeight="1">
      <x:c r="A11" s="43" t="str">
        <x:v>PSY-F07</x:v>
      </x:c>
      <x:c r="B11" s="43" t="str">
        <x:v>Knowledge, Memory &amp; Mental Representation</x:v>
      </x:c>
      <x:c r="C11" s="43" t="str">
        <x:v>Psychological</x:v>
      </x:c>
      <x:c r="D11" s="43" t="str">
        <x:v>Variables describing accessible knowledge, remembered familiarity and confidence, causal beliefs, and the coherence of internal situation models.</x:v>
      </x:c>
      <x:c r="E11" s="43" t="str">
        <x:v>Causal-belief strength, mental-model coherence, domain knowledge, memory accessibility, familiarity, memory confidence, and prior-belief congruence.</x:v>
      </x:c>
      <x:c r="F11" s="43" t="str">
        <x:v>Information properties outside the person, processing operations, and reinforcement contingencies.</x:v>
      </x:c>
      <x:c r="G11" s="43" t="str">
        <x:v>Causal Belief Strength; Mental Model Coherence; Domain Knowledge; Memory Accessibility; Familiarity; Memory Confidence</x:v>
      </x:c>
      <x:c r="H11" s="43" t="n">
        <x:v>7</x:v>
      </x:c>
    </x:row>
    <x:row r="12" ht="60" customHeight="1">
      <x:c r="A12" s="43" t="str">
        <x:v>PSY-F08</x:v>
      </x:c>
      <x:c r="B12" s="43" t="str">
        <x:v>Learning, Habit &amp; Automaticity</x:v>
      </x:c>
      <x:c r="C12" s="43" t="str">
        <x:v>Psychological</x:v>
      </x:c>
      <x:c r="D12" s="43" t="str">
        <x:v>Learned action propensities and associations that permit cues and expected reinforcement to guide behavior with reduced deliberation.</x:v>
      </x:c>
      <x:c r="E12" s="43" t="str">
        <x:v>Habit strength, automaticity, cue-response associations, reinforcement expectations, and socially learned expectancies.</x:v>
      </x:c>
      <x:c r="F12" s="43" t="str">
        <x:v>The learning mechanism itself, raw repetition counts, or deliberate implementation plans.</x:v>
      </x:c>
      <x:c r="G12" s="43" t="str">
        <x:v>Habit Strength; Behavioral Automaticity; Cue–Response Association Strength; Reinforcement Expectancy; Observationally Learned Expectancy</x:v>
      </x:c>
      <x:c r="H12" s="43" t="n">
        <x:v>5</x:v>
      </x:c>
    </x:row>
    <x:row r="13" ht="60" customHeight="1">
      <x:c r="A13" s="43" t="str">
        <x:v>PSY-F09</x:v>
      </x:c>
      <x:c r="B13" s="43" t="str">
        <x:v>Planning, Self-Regulation &amp; Executive Control</x:v>
      </x:c>
      <x:c r="C13" s="43" t="str">
        <x:v>Psychological</x:v>
      </x:c>
      <x:c r="D13" s="43" t="str">
        <x:v>Variables enabling prospective planning, monitoring, inhibition, attentional control, emotion management, and correction of goal-directed action.</x:v>
      </x:c>
      <x:c r="E13" s="43" t="str">
        <x:v>Implementation intentions, plan specificity, monitoring, goal discrepancy, regulatory capacity, inhibitory control, and coping flexibility.</x:v>
      </x:c>
      <x:c r="F13" s="43" t="str">
        <x:v>Goal content or motivation (F04), momentary cognitive load (F06), and stable trait self-control (F14).</x:v>
      </x:c>
      <x:c r="G13" s="43" t="str">
        <x:v>Implementation Intention Strength; Action Plan Specificity; Self-Monitoring Intensity; Goal–State Discrepancy; Emotion Regulation Capacity; Attentional Control Capacity</x:v>
      </x:c>
      <x:c r="H13" s="43" t="n">
        <x:v>9</x:v>
      </x:c>
    </x:row>
    <x:row r="14" ht="60" customHeight="1">
      <x:c r="A14" s="43" t="str">
        <x:v>PSY-F10</x:v>
      </x:c>
      <x:c r="B14" s="43" t="str">
        <x:v>Decision Valuation Across Risk, Time &amp; Effort</x:v>
      </x:c>
      <x:c r="C14" s="43" t="str">
        <x:v>Psychological</x:v>
      </x:c>
      <x:c r="D14" s="43" t="str">
        <x:v>Parameters and state-dependent valuations that shape choice under gains, losses, delay, effort, risk, ambiguity, and default structures.</x:v>
      </x:c>
      <x:c r="E14" s="43" t="str">
        <x:v>Loss sensitivity, reference points, probability weighting, risk/ambiguity preference, temporal and effort discounting, present bias, decision conflict, and default preference.</x:v>
      </x:c>
      <x:c r="F14" s="43" t="str">
        <x:v>Objective payoffs, choice architecture outside the person, or broad attitudes toward a behavior.</x:v>
      </x:c>
      <x:c r="G14" s="43" t="str">
        <x:v>Loss Aversion; Reference Point; Risk Preference; Probability Weighting; Ambiguity Aversion; Delay Discounting</x:v>
      </x:c>
      <x:c r="H14" s="43" t="n">
        <x:v>10</x:v>
      </x:c>
    </x:row>
    <x:row r="15" ht="60" customHeight="1">
      <x:c r="A15" s="43" t="str">
        <x:v>PSY-F11</x:v>
      </x:c>
      <x:c r="B15" s="43" t="str">
        <x:v>Self-Concept, Identity &amp; Consistency</x:v>
      </x:c>
      <x:c r="C15" s="43" t="str">
        <x:v>Psychological</x:v>
      </x:c>
      <x:c r="D15" s="43" t="str">
        <x:v>Variables describing the salience, centrality, clarity, fusion, and threatened or inconsistent state of personal and social self-representations.</x:v>
      </x:c>
      <x:c r="E15" s="43" t="str">
        <x:v>Behavioral self-identity, identity salience/centrality, social identification, fusion, self-concept clarity, integrity or identity threat, and dissonance.</x:v>
      </x:c>
      <x:c r="F15" s="43" t="str">
        <x:v>Demographic labels, group membership itself, cultural identity content, and moral judgments about particular acts.</x:v>
      </x:c>
      <x:c r="G15" s="43" t="str">
        <x:v>Behavioral Self-Identity; Identity Salience; Identity Centrality; Social Identification Strength; Identity Fusion; Self-Concept Clarity</x:v>
      </x:c>
      <x:c r="H15" s="43" t="n">
        <x:v>10</x:v>
      </x:c>
    </x:row>
    <x:row r="16" ht="60" customHeight="1">
      <x:c r="A16" s="43" t="str">
        <x:v>PSY-F12</x:v>
      </x:c>
      <x:c r="B16" s="43" t="str">
        <x:v>Agency, Attribution &amp; Moral Judgment</x:v>
      </x:c>
      <x:c r="C16" s="43" t="str">
        <x:v>Psychological</x:v>
      </x:c>
      <x:c r="D16" s="43" t="str">
        <x:v>Appraisals of agency, responsibility, intention, freedom, accountability, and moral obligation that shape blame, sanction, resistance, and principled action.</x:v>
      </x:c>
      <x:c r="E16" s="43" t="str">
        <x:v>Agency, causal and responsibility attribution, intentionality, freedom threat, reactance, moral conviction, and moral obligation.</x:v>
      </x:c>
      <x:c r="F16" s="43" t="str">
        <x:v>Formal accountability systems, social sanctions themselves, or identity centrality.</x:v>
      </x:c>
      <x:c r="G16" s="43" t="str">
        <x:v>Perceived Agency; Responsibility Attribution; Causal Attribution Locus; Intentionality Attribution; Perceived Freedom Threat; Psychological Reactance Intensity</x:v>
      </x:c>
      <x:c r="H16" s="43" t="n">
        <x:v>9</x:v>
      </x:c>
    </x:row>
    <x:row r="17" ht="60" customHeight="1">
      <x:c r="A17" s="43" t="str">
        <x:v>PSY-F13</x:v>
      </x:c>
      <x:c r="B17" s="43" t="str">
        <x:v>Epistemic Trust &amp; Persuasion</x:v>
      </x:c>
      <x:c r="C17" s="43" t="str">
        <x:v>Psychological</x:v>
      </x:c>
      <x:c r="D17" s="43" t="str">
        <x:v>Judgments and motivational states governing acceptance, rejection, search, confidence, and resistance when evaluating information and sources.</x:v>
      </x:c>
      <x:c r="E17" s="43" t="str">
        <x:v>Source credibility, perceived argument strength, counterarguing, metacognitive confidence, resistance motivation, epistemic trust, and perceived information sufficiency.</x:v>
      </x:c>
      <x:c r="F17" s="43" t="str">
        <x:v>Objective source properties, information quality, channel affordances, and general cognitive capacity.</x:v>
      </x:c>
      <x:c r="G17" s="43" t="str">
        <x:v>Perceived Source Credibility; Perceived Argument Strength; Counterarguing Intensity; Metacognitive Confidence; Resistance Motivation; Epistemic Trust</x:v>
      </x:c>
      <x:c r="H17" s="43" t="n">
        <x:v>7</x:v>
      </x:c>
    </x:row>
    <x:row r="18" ht="60" customHeight="1">
      <x:c r="A18" s="43" t="str">
        <x:v>PSY-F14</x:v>
      </x:c>
      <x:c r="B18" s="43" t="str">
        <x:v>Stable Dispositions &amp; Temperament</x:v>
      </x:c>
      <x:c r="C18" s="43" t="str">
        <x:v>Psychological</x:v>
      </x:c>
      <x:c r="D18" s="43" t="str">
        <x:v>Relatively enduring individual-difference parameters that systematically bias appraisal, motivation, affect, and self-regulation across situations.</x:v>
      </x:c>
      <x:c r="E18" s="43" t="str">
        <x:v>Broad personality traits, impulsivity, sensation seeking, reward/punishment sensitivity, need for cognition, need for closure, and intolerance of uncertainty.</x:v>
      </x:c>
      <x:c r="F18" s="43" t="str">
        <x:v>Demographic labels, diagnoses, transient states, or claims that traits determine behavior regardless of context.</x:v>
      </x:c>
      <x:c r="G18" s="43" t="str">
        <x:v>Conscientiousness; Neuroticism; Extraversion; Agreeableness; Openness to Experience; Trait Impulsivity</x:v>
      </x:c>
      <x:c r="H18" s="43" t="n">
        <x:v>12</x:v>
      </x:c>
    </x:row>
  </x:sheetData>
  <x:mergeCells>
    <x:mergeCell ref="A1:G1"/>
    <x:mergeCell ref="A2:G2"/>
    <x:mergeCell ref="A1:H1"/>
    <x:mergeCell ref="A2:H2"/>
  </x:mergeCells>
  <x:pageMargins left="0.7" right="0.7" top="0.75" bottom="0.75" header="0.3" footer="0.3"/>
  <x:tableParts count="1">
    <x:tablePart xmlns:r="http://schemas.openxmlformats.org/officeDocument/2006/relationships" r:id="R5e315a4bf84644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7" hidden="0" customWidth="1"/>
    <x:col min="3" max="3" width="30" hidden="0" customWidth="1"/>
    <x:col min="4" max="4" width="15" hidden="0" customWidth="1"/>
    <x:col min="5" max="5" width="30" hidden="0" customWidth="1"/>
    <x:col min="6" max="6" width="46" hidden="0" customWidth="1"/>
    <x:col min="7" max="7" width="20" hidden="0" customWidth="1"/>
    <x:col min="8" max="8" width="30" hidden="0" customWidth="1"/>
    <x:col min="9" max="9" width="35" hidden="0" customWidth="1"/>
    <x:col min="10" max="10" width="44" hidden="0" customWidth="1"/>
    <x:col min="11" max="11" width="32" hidden="0" customWidth="1"/>
    <x:col min="12" max="12" width="32" hidden="0" customWidth="1"/>
    <x:col min="13" max="13" width="36" hidden="0" customWidth="1"/>
    <x:col min="14" max="14" width="32" hidden="0" customWidth="1"/>
    <x:col min="15" max="15" width="17" hidden="0" customWidth="1"/>
    <x:col min="16" max="16" width="15" hidden="0" customWidth="1"/>
    <x:col min="17" max="17" width="24" hidden="0" customWidth="1"/>
    <x:col min="18" max="18" width="22" hidden="0" customWidth="1"/>
    <x:col min="19" max="19" width="30" hidden="0" customWidth="1"/>
    <x:col min="20" max="20" width="36" hidden="0" customWidth="1"/>
    <x:col min="21" max="21" width="38" hidden="0" customWidth="1"/>
    <x:col min="22" max="22" width="15" hidden="0" customWidth="1"/>
    <x:col min="23" max="23" width="38" hidden="0" customWidth="1"/>
    <x:col min="24" max="24" width="15" hidden="0" customWidth="1"/>
    <x:col min="25" max="25" width="45" hidden="0" customWidth="1"/>
    <x:col min="26" max="26" width="38" hidden="0" customWidth="1"/>
    <x:col min="27" max="27" width="23" hidden="0" customWidth="1"/>
  </x:cols>
  <x:sheetData>
    <x:row r="1" ht="30" customHeight="1">
      <x:c r="A1" s="46" t="str">
        <x:v>PSYWERX Psychological Driver Ontology — Canonical Drivers</x:v>
      </x:c>
      <x:c r="B1" s="46"/>
      <x:c r="C1" s="46"/>
      <x:c r="D1" s="46"/>
      <x:c r="E1" s="46"/>
      <x:c r="F1" s="46"/>
      <x:c r="G1" s="46"/>
      <x:c r="H1" s="46"/>
      <x:c r="I1" s="46"/>
      <x:c r="J1" s="46"/>
      <x:c r="K1" s="46"/>
      <x:c r="L1" s="46"/>
      <x:c r="M1" s="46"/>
      <x:c r="N1" s="46"/>
      <x:c r="O1" s="46"/>
      <x:c r="P1" s="46"/>
      <x:c r="Q1" s="46"/>
      <x:c r="R1" s="46"/>
      <x:c r="S1" s="46"/>
      <x:c r="T1" s="46"/>
      <x:c r="U1" s="46"/>
      <x:c r="V1" s="46"/>
      <x:c r="W1" s="46"/>
      <x:c r="X1" s="46"/>
      <x:c r="Y1" s="46"/>
      <x:c r="Z1" s="46"/>
      <x:c r="AA1" s="46"/>
    </x:row>
    <x:row r="2" ht="42" customHeight="1">
      <x:c r="A2" s="49" t="str">
        <x:v>All 27 fields follow PSYWERX Driver Ontology Standard v1.0. Driver names represent variables; effect direction and evidence for specific edges belong in Relationships.</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c r="AA2" s="49"/>
    </x:row>
    <x:row r="3" ht="8" customHeight="1">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row>
    <x:row r="4" ht="46" customHeight="1">
      <x:c r="A4" s="52" t="str">
        <x:v>ID</x:v>
      </x:c>
      <x:c r="B4" s="52" t="str">
        <x:v>Name</x:v>
      </x:c>
      <x:c r="C4" s="52" t="str">
        <x:v>Other Names / Aliases</x:v>
      </x:c>
      <x:c r="D4" s="52" t="str">
        <x:v>Layer</x:v>
      </x:c>
      <x:c r="E4" s="52" t="str">
        <x:v>Family</x:v>
      </x:c>
      <x:c r="F4" s="52" t="str">
        <x:v>Definition</x:v>
      </x:c>
      <x:c r="G4" s="52" t="str">
        <x:v>Data Type</x:v>
      </x:c>
      <x:c r="H4" s="52" t="str">
        <x:v>Representation / Scale</x:v>
      </x:c>
      <x:c r="I4" s="52" t="str">
        <x:v>Polarity / Direction of Interpretation</x:v>
      </x:c>
      <x:c r="J4" s="52" t="str">
        <x:v>Mechanism</x:v>
      </x:c>
      <x:c r="K4" s="52" t="str">
        <x:v>Likely Upstream Influences</x:v>
      </x:c>
      <x:c r="L4" s="52" t="str">
        <x:v>Likely Downstream Influences</x:v>
      </x:c>
      <x:c r="M4" s="52" t="str">
        <x:v>Moderators / Boundary Conditions</x:v>
      </x:c>
      <x:c r="N4" s="52" t="str">
        <x:v>Typical Interaction Candidates</x:v>
      </x:c>
      <x:c r="O4" s="52" t="str">
        <x:v>Modifiability / Malleability</x:v>
      </x:c>
      <x:c r="P4" s="52" t="str">
        <x:v>Volatility</x:v>
      </x:c>
      <x:c r="Q4" s="52" t="str">
        <x:v>Time Scale of Change</x:v>
      </x:c>
      <x:c r="R4" s="52" t="str">
        <x:v>Onset / Causal Lag</x:v>
      </x:c>
      <x:c r="S4" s="52" t="str">
        <x:v>Persistence / Recovery</x:v>
      </x:c>
      <x:c r="T4" s="52" t="str">
        <x:v>Indicators</x:v>
      </x:c>
      <x:c r="U4" s="52" t="str">
        <x:v>Measurement / Assessment Methods</x:v>
      </x:c>
      <x:c r="V4" s="52" t="str">
        <x:v>Observability</x:v>
      </x:c>
      <x:c r="W4" s="52" t="str">
        <x:v>Measurement Caveats</x:v>
      </x:c>
      <x:c r="X4" s="52" t="str">
        <x:v>Evidence Strength</x:v>
      </x:c>
      <x:c r="Y4" s="52" t="str">
        <x:v>Evidence Notes</x:v>
      </x:c>
      <x:c r="Z4" s="52" t="str">
        <x:v>Common Misinterpretations</x:v>
      </x:c>
      <x:c r="AA4" s="52" t="str">
        <x:v>Key Sources</x:v>
      </x:c>
    </x:row>
    <x:row r="5" ht="72" customHeight="1">
      <x:c r="A5" s="43" t="str">
        <x:v>PSY-001</x:v>
      </x:c>
      <x:c r="B5" s="43" t="str">
        <x:v>Attitude Valence</x:v>
      </x:c>
      <x:c r="C5" s="43" t="str">
        <x:v>Attitude toward the behavior; behavioral evaluation</x:v>
      </x:c>
      <x:c r="D5" s="43" t="str">
        <x:v>Psychological</x:v>
      </x:c>
      <x:c r="E5" s="43" t="str">
        <x:v>Beliefs, Attitudes &amp; Outcome Expectancies</x:v>
      </x:c>
      <x:c r="F5" s="43" t="str">
        <x:v>The degree to which performing a specified behavior is evaluated unfavorably or favorably.</x:v>
      </x:c>
      <x:c r="G5" s="43" t="str">
        <x:v>Bipolar continuous</x:v>
      </x:c>
      <x:c r="H5" s="43" t="str">
        <x:v>Validated semantic-differential or Likert composite anchored unfavorable–favorable</x:v>
      </x:c>
      <x:c r="I5" s="43" t="str">
        <x:v>Negative values = unfavorable evaluation; positive values = favorable evaluation.</x:v>
      </x:c>
      <x:c r="J5" s="43" t="str">
        <x:v>Changes the subjective desirability of an option and contributes to intention and choice when accessible and relevant.</x:v>
      </x:c>
      <x:c r="K5" s="43" t="str">
        <x:v>Prior experience; information exposure; observed outcomes; social evaluation; affective response</x:v>
      </x:c>
      <x:c r="L5" s="43" t="str">
        <x:v>Intention strength; option preference; effort allocation; persistence; information acceptance</x:v>
      </x:c>
      <x:c r="M5" s="43" t="str">
        <x:v>Behavioral specificity, direct experience, attitude accessibility, temporal stability, opportunity, and competing goals.</x:v>
      </x:c>
      <x:c r="N5" s="43" t="str">
        <x:v>Metacognitive Confidence; Perceived Descriptive Norm; Self-Efficacy; Outcome Valuation</x:v>
      </x:c>
      <x:c r="O5" s="43" t="str">
        <x:v>Moderate</x:v>
      </x:c>
      <x:c r="P5" s="43" t="str">
        <x:v>Low</x:v>
      </x:c>
      <x:c r="Q5" s="43" t="str">
        <x:v>Days–Weeks</x:v>
      </x:c>
      <x:c r="R5" s="43" t="str">
        <x:v>Minutes–Hours</x:v>
      </x:c>
      <x:c r="S5" s="43" t="str">
        <x:v>Often persists for days to months; updating depends on counterevidence and confidence.</x:v>
      </x:c>
      <x:c r="T5" s="43" t="str">
        <x:v>Evaluative ratings; approach or avoidance language; choice preference</x:v>
      </x:c>
      <x:c r="U5" s="43" t="str">
        <x:v>Validated construct-specific scales; structured belief elicitation; choice or expectancy tasks; repeated assessment</x:v>
      </x:c>
      <x:c r="V5" s="43" t="str">
        <x:v>Moderate</x:v>
      </x:c>
      <x:c r="W5" s="43" t="str">
        <x:v>Self-report may conflate evaluation, expectancy, and intention; behavior-specific wording and temporal alignment are essential.</x:v>
      </x:c>
      <x:c r="X5" s="43" t="str">
        <x:v>Strong</x:v>
      </x:c>
      <x:c r="Y5" s="43" t="str">
        <x:v>Supported by established theory, validated measures, and converging review, meta-analytic, experimental, or longitudinal evidence. Magnitude and behavioral direction remain conditional on context. Representative records: SRC107; SRC110.</x:v>
      </x:c>
      <x:c r="Z5" s="43" t="str">
        <x:v>Treating a favorable belief or attitude as sufficient for behavior despite capability, opportunity, habits, or competing goals.</x:v>
      </x:c>
      <x:c r="AA5" s="43" t="str">
        <x:v>SRC107; SRC110</x:v>
      </x:c>
    </x:row>
    <x:row r="6" ht="72" customHeight="1">
      <x:c r="A6" s="43" t="str">
        <x:v>PSY-002</x:v>
      </x:c>
      <x:c r="B6" s="43" t="str">
        <x:v>Attitude Strength</x:v>
      </x:c>
      <x:c r="C6" s="43" t="str">
        <x:v>Attitude durability; attitude accessibility</x:v>
      </x:c>
      <x:c r="D6" s="43" t="str">
        <x:v>Psychological</x:v>
      </x:c>
      <x:c r="E6" s="43" t="str">
        <x:v>Beliefs, Attitudes &amp; Outcome Expectancies</x:v>
      </x:c>
      <x:c r="F6" s="43" t="str">
        <x:v>The degree to which a behavior-specific evaluation is confident, accessible, stable, and resistant to change.</x:v>
      </x:c>
      <x:c r="G6" s="43" t="str">
        <x:v>Multidimensional</x:v>
      </x:c>
      <x:c r="H6" s="43" t="str">
        <x:v>Composite of certainty, accessibility, importance, stability, and resistance</x:v>
      </x:c>
      <x:c r="I6" s="43" t="str">
        <x:v>Higher values = stronger and more consequential attitude.</x:v>
      </x:c>
      <x:c r="J6" s="43" t="str">
        <x:v>Strong attitudes are retrieved more readily, guide interpretation, and resist counterpersuasion.</x:v>
      </x:c>
      <x:c r="K6" s="43" t="str">
        <x:v>Prior experience; information exposure; observed outcomes; social evaluation; affective response</x:v>
      </x:c>
      <x:c r="L6" s="43" t="str">
        <x:v>Intention strength; option preference; effort allocation; persistence; information acceptance</x:v>
      </x:c>
      <x:c r="M6" s="43" t="str">
        <x:v>Behavioral specificity, direct experience, attitude accessibility, temporal stability, opportunity, and competing goals.</x:v>
      </x:c>
      <x:c r="N6" s="43" t="str">
        <x:v>Metacognitive Confidence; Perceived Descriptive Norm; Self-Efficacy; Outcome Valuation</x:v>
      </x:c>
      <x:c r="O6" s="43" t="str">
        <x:v>Moderate</x:v>
      </x:c>
      <x:c r="P6" s="43" t="str">
        <x:v>Low</x:v>
      </x:c>
      <x:c r="Q6" s="43" t="str">
        <x:v>Days–Weeks</x:v>
      </x:c>
      <x:c r="R6" s="43" t="str">
        <x:v>Minutes–Hours</x:v>
      </x:c>
      <x:c r="S6" s="43" t="str">
        <x:v>Often persists for days to months; updating depends on counterevidence and confidence.</x:v>
      </x:c>
      <x:c r="T6" s="43" t="str">
        <x:v>Response latency; test–retest stability; certainty and importance ratings</x:v>
      </x:c>
      <x:c r="U6" s="43" t="str">
        <x:v>Validated construct-specific scales; structured belief elicitation; choice or expectancy tasks; repeated assessment</x:v>
      </x:c>
      <x:c r="V6" s="43" t="str">
        <x:v>Moderate</x:v>
      </x:c>
      <x:c r="W6" s="43" t="str">
        <x:v>Self-report may conflate evaluation, expectancy, and intention; behavior-specific wording and temporal alignment are essential.</x:v>
      </x:c>
      <x:c r="X6" s="43" t="str">
        <x:v>Moderate</x:v>
      </x:c>
      <x:c r="Y6" s="43" t="str">
        <x:v>Scientifically defensible with substantial supporting literature, while causal identification, construct boundaries, measurement, or transferability remain context dependent. Representative records: SRC156; SRC117.</x:v>
      </x:c>
      <x:c r="Z6" s="43" t="str">
        <x:v>Treating a favorable belief or attitude as sufficient for behavior despite capability, opportunity, habits, or competing goals.</x:v>
      </x:c>
      <x:c r="AA6" s="43" t="str">
        <x:v>SRC156; SRC117</x:v>
      </x:c>
    </x:row>
    <x:row r="7" ht="72" customHeight="1">
      <x:c r="A7" s="43" t="str">
        <x:v>PSY-003</x:v>
      </x:c>
      <x:c r="B7" s="43" t="str">
        <x:v>Belief Strength</x:v>
      </x:c>
      <x:c r="C7" s="43" t="str">
        <x:v>Belief confidence; subjective conviction</x:v>
      </x:c>
      <x:c r="D7" s="43" t="str">
        <x:v>Psychological</x:v>
      </x:c>
      <x:c r="E7" s="43" t="str">
        <x:v>Beliefs, Attitudes &amp; Outcome Expectancies</x:v>
      </x:c>
      <x:c r="F7" s="43" t="str">
        <x:v>The degree of confidence or commitment attached to a specified proposition about the world.</x:v>
      </x:c>
      <x:c r="G7" s="43" t="str">
        <x:v>Unipolar continuous</x:v>
      </x:c>
      <x:c r="H7" s="43" t="str">
        <x:v>0–1 subjective probability or ordinal confidence scale</x:v>
      </x:c>
      <x:c r="I7" s="43" t="str">
        <x:v>Higher values = greater confidence that the proposition is true.</x:v>
      </x:c>
      <x:c r="J7" s="43" t="str">
        <x:v>Weights the proposition more heavily in inference, prediction, and action selection.</x:v>
      </x:c>
      <x:c r="K7" s="43" t="str">
        <x:v>Prior experience; information exposure; observed outcomes; social evaluation; affective response</x:v>
      </x:c>
      <x:c r="L7" s="43" t="str">
        <x:v>Intention strength; option preference; effort allocation; persistence; information acceptance</x:v>
      </x:c>
      <x:c r="M7" s="43" t="str">
        <x:v>Behavioral specificity, direct experience, attitude accessibility, temporal stability, opportunity, and competing goals.</x:v>
      </x:c>
      <x:c r="N7" s="43" t="str">
        <x:v>Metacognitive Confidence; Perceived Descriptive Norm; Self-Efficacy; Outcome Valuation</x:v>
      </x:c>
      <x:c r="O7" s="43" t="str">
        <x:v>Moderate</x:v>
      </x:c>
      <x:c r="P7" s="43" t="str">
        <x:v>Low</x:v>
      </x:c>
      <x:c r="Q7" s="43" t="str">
        <x:v>Days–Weeks</x:v>
      </x:c>
      <x:c r="R7" s="43" t="str">
        <x:v>Minutes–Hours</x:v>
      </x:c>
      <x:c r="S7" s="43" t="str">
        <x:v>Often persists for days to months; updating depends on counterevidence and confidence.</x:v>
      </x:c>
      <x:c r="T7" s="43" t="str">
        <x:v>Confidence rating; resistance to revision; betting or calibration response</x:v>
      </x:c>
      <x:c r="U7" s="43" t="str">
        <x:v>Validated construct-specific scales; structured belief elicitation; choice or expectancy tasks; repeated assessment</x:v>
      </x:c>
      <x:c r="V7" s="43" t="str">
        <x:v>Moderate</x:v>
      </x:c>
      <x:c r="W7" s="43" t="str">
        <x:v>Self-report may conflate evaluation, expectancy, and intention; behavior-specific wording and temporal alignment are essential.</x:v>
      </x:c>
      <x:c r="X7" s="43" t="str">
        <x:v>Moderate</x:v>
      </x:c>
      <x:c r="Y7" s="43" t="str">
        <x:v>Scientifically defensible with substantial supporting literature, while causal identification, construct boundaries, measurement, or transferability remain context dependent. Representative records: SRC168; SRC169.</x:v>
      </x:c>
      <x:c r="Z7" s="43" t="str">
        <x:v>Treating a favorable belief or attitude as sufficient for behavior despite capability, opportunity, habits, or competing goals.</x:v>
      </x:c>
      <x:c r="AA7" s="43" t="str">
        <x:v>SRC168; SRC169</x:v>
      </x:c>
    </x:row>
    <x:row r="8" ht="72" customHeight="1">
      <x:c r="A8" s="43" t="str">
        <x:v>PSY-004</x:v>
      </x:c>
      <x:c r="B8" s="43" t="str">
        <x:v>Outcome Expectancy</x:v>
      </x:c>
      <x:c r="C8" s="43" t="str">
        <x:v>Action–outcome expectancy; behavioral consequence belief</x:v>
      </x:c>
      <x:c r="D8" s="43" t="str">
        <x:v>Psychological</x:v>
      </x:c>
      <x:c r="E8" s="43" t="str">
        <x:v>Beliefs, Attitudes &amp; Outcome Expectancies</x:v>
      </x:c>
      <x:c r="F8" s="43" t="str">
        <x:v>The judged likelihood that performing a specified action will produce a specified consequence.</x:v>
      </x:c>
      <x:c r="G8" s="43" t="str">
        <x:v>Unipolar continuous</x:v>
      </x:c>
      <x:c r="H8" s="43" t="str">
        <x:v>0–1 probability; 0–100%; low–high expectancy</x:v>
      </x:c>
      <x:c r="I8" s="43" t="str">
        <x:v>Higher values = greater expected likelihood of the specified consequence.</x:v>
      </x:c>
      <x:c r="J8" s="43" t="str">
        <x:v>Links action to anticipated consequences, altering expected value and action selection.</x:v>
      </x:c>
      <x:c r="K8" s="43" t="str">
        <x:v>Prior experience; information exposure; observed outcomes; social evaluation; affective response</x:v>
      </x:c>
      <x:c r="L8" s="43" t="str">
        <x:v>Intention strength; option preference; effort allocation; persistence; information acceptance</x:v>
      </x:c>
      <x:c r="M8" s="43" t="str">
        <x:v>Behavioral specificity, direct experience, attitude accessibility, temporal stability, opportunity, and competing goals.</x:v>
      </x:c>
      <x:c r="N8" s="43" t="str">
        <x:v>Metacognitive Confidence; Perceived Descriptive Norm; Self-Efficacy; Outcome Valuation</x:v>
      </x:c>
      <x:c r="O8" s="43" t="str">
        <x:v>Moderate</x:v>
      </x:c>
      <x:c r="P8" s="43" t="str">
        <x:v>Low</x:v>
      </x:c>
      <x:c r="Q8" s="43" t="str">
        <x:v>Days–Weeks</x:v>
      </x:c>
      <x:c r="R8" s="43" t="str">
        <x:v>Minutes–Hours</x:v>
      </x:c>
      <x:c r="S8" s="43" t="str">
        <x:v>Often persists for days to months; updating depends on counterevidence and confidence.</x:v>
      </x:c>
      <x:c r="T8" s="43" t="str">
        <x:v>Probability judgments; consequence-belief items; expectancy ratings</x:v>
      </x:c>
      <x:c r="U8" s="43" t="str">
        <x:v>Validated construct-specific scales; structured belief elicitation; choice or expectancy tasks; repeated assessment</x:v>
      </x:c>
      <x:c r="V8" s="43" t="str">
        <x:v>Moderate</x:v>
      </x:c>
      <x:c r="W8" s="43" t="str">
        <x:v>Self-report may conflate evaluation, expectancy, and intention; behavior-specific wording and temporal alignment are essential.</x:v>
      </x:c>
      <x:c r="X8" s="43" t="str">
        <x:v>Strong</x:v>
      </x:c>
      <x:c r="Y8" s="43" t="str">
        <x:v>Supported by established theory, validated measures, and converging review, meta-analytic, experimental, or longitudinal evidence. Magnitude and behavioral direction remain conditional on context. Representative records: SRC110; SRC111.</x:v>
      </x:c>
      <x:c r="Z8" s="43" t="str">
        <x:v>Treating a favorable belief or attitude as sufficient for behavior despite capability, opportunity, habits, or competing goals.</x:v>
      </x:c>
      <x:c r="AA8" s="43" t="str">
        <x:v>SRC110; SRC111</x:v>
      </x:c>
    </x:row>
    <x:row r="9" ht="72" customHeight="1">
      <x:c r="A9" s="43" t="str">
        <x:v>PSY-005</x:v>
      </x:c>
      <x:c r="B9" s="43" t="str">
        <x:v>Outcome Valuation</x:v>
      </x:c>
      <x:c r="C9" s="43" t="str">
        <x:v>Subjective outcome value; desirability; utility</x:v>
      </x:c>
      <x:c r="D9" s="43" t="str">
        <x:v>Psychological</x:v>
      </x:c>
      <x:c r="E9" s="43" t="str">
        <x:v>Beliefs, Attitudes &amp; Outcome Expectancies</x:v>
      </x:c>
      <x:c r="F9" s="43" t="str">
        <x:v>The subjective desirability or aversiveness assigned to a specified possible outcome.</x:v>
      </x:c>
      <x:c r="G9" s="43" t="str">
        <x:v>Bipolar continuous</x:v>
      </x:c>
      <x:c r="H9" s="43" t="str">
        <x:v>Negative–neutral–positive valuation; utility or willingness-to-pay measure</x:v>
      </x:c>
      <x:c r="I9" s="43" t="str">
        <x:v>Negative values = aversive; positive values = desirable.</x:v>
      </x:c>
      <x:c r="J9" s="43" t="str">
        <x:v>Weights expected consequences in preference formation, motivation, and choice.</x:v>
      </x:c>
      <x:c r="K9" s="43" t="str">
        <x:v>Prior experience; information exposure; observed outcomes; social evaluation; affective response</x:v>
      </x:c>
      <x:c r="L9" s="43" t="str">
        <x:v>Intention strength; option preference; effort allocation; persistence; information acceptance</x:v>
      </x:c>
      <x:c r="M9" s="43" t="str">
        <x:v>Behavioral specificity, direct experience, attitude accessibility, temporal stability, opportunity, and competing goals.</x:v>
      </x:c>
      <x:c r="N9" s="43" t="str">
        <x:v>Metacognitive Confidence; Perceived Descriptive Norm; Self-Efficacy; Outcome Valuation</x:v>
      </x:c>
      <x:c r="O9" s="43" t="str">
        <x:v>Moderate</x:v>
      </x:c>
      <x:c r="P9" s="43" t="str">
        <x:v>Low</x:v>
      </x:c>
      <x:c r="Q9" s="43" t="str">
        <x:v>Days–Weeks</x:v>
      </x:c>
      <x:c r="R9" s="43" t="str">
        <x:v>Minutes–Hours</x:v>
      </x:c>
      <x:c r="S9" s="43" t="str">
        <x:v>Often persists for days to months; updating depends on counterevidence and confidence.</x:v>
      </x:c>
      <x:c r="T9" s="43" t="str">
        <x:v>Valence ratings; willingness to trade; approach or avoidance preference</x:v>
      </x:c>
      <x:c r="U9" s="43" t="str">
        <x:v>Validated construct-specific scales; structured belief elicitation; choice or expectancy tasks; repeated assessment</x:v>
      </x:c>
      <x:c r="V9" s="43" t="str">
        <x:v>Moderate</x:v>
      </x:c>
      <x:c r="W9" s="43" t="str">
        <x:v>Self-report may conflate evaluation, expectancy, and intention; behavior-specific wording and temporal alignment are essential.</x:v>
      </x:c>
      <x:c r="X9" s="43" t="str">
        <x:v>Strong</x:v>
      </x:c>
      <x:c r="Y9" s="43" t="str">
        <x:v>Supported by established theory, validated measures, and converging review, meta-analytic, experimental, or longitudinal evidence. Magnitude and behavioral direction remain conditional on context. Representative records: SRC110; SRC113.</x:v>
      </x:c>
      <x:c r="Z9" s="43" t="str">
        <x:v>Treating a favorable belief or attitude as sufficient for behavior despite capability, opportunity, habits, or competing goals.</x:v>
      </x:c>
      <x:c r="AA9" s="43" t="str">
        <x:v>SRC110; SRC113</x:v>
      </x:c>
    </x:row>
    <x:row r="10" ht="72" customHeight="1">
      <x:c r="A10" s="43" t="str">
        <x:v>PSY-006</x:v>
      </x:c>
      <x:c r="B10" s="43" t="str">
        <x:v>Success Expectancy</x:v>
      </x:c>
      <x:c r="C10" s="43" t="str">
        <x:v>Expectancy of success; performance expectancy</x:v>
      </x:c>
      <x:c r="D10" s="43" t="str">
        <x:v>Psychological</x:v>
      </x:c>
      <x:c r="E10" s="43" t="str">
        <x:v>Beliefs, Attitudes &amp; Outcome Expectancies</x:v>
      </x:c>
      <x:c r="F10" s="43" t="str">
        <x:v>The judged likelihood of successfully completing a specified task or attaining a specified goal.</x:v>
      </x:c>
      <x:c r="G10" s="43" t="str">
        <x:v>Unipolar continuous</x:v>
      </x:c>
      <x:c r="H10" s="43" t="str">
        <x:v>0–1 probability; 0–100%; ordinal likelihood</x:v>
      </x:c>
      <x:c r="I10" s="43" t="str">
        <x:v>Higher values = greater expected probability of success.</x:v>
      </x:c>
      <x:c r="J10" s="43" t="str">
        <x:v>Changes expected return on effort and willingness to initiate or persist.</x:v>
      </x:c>
      <x:c r="K10" s="43" t="str">
        <x:v>Prior experience; information exposure; observed outcomes; social evaluation; affective response</x:v>
      </x:c>
      <x:c r="L10" s="43" t="str">
        <x:v>Intention strength; option preference; effort allocation; persistence; information acceptance</x:v>
      </x:c>
      <x:c r="M10" s="43" t="str">
        <x:v>Behavioral specificity, direct experience, attitude accessibility, temporal stability, opportunity, and competing goals.</x:v>
      </x:c>
      <x:c r="N10" s="43" t="str">
        <x:v>Metacognitive Confidence; Perceived Descriptive Norm; Self-Efficacy; Outcome Valuation</x:v>
      </x:c>
      <x:c r="O10" s="43" t="str">
        <x:v>Moderate</x:v>
      </x:c>
      <x:c r="P10" s="43" t="str">
        <x:v>Low</x:v>
      </x:c>
      <x:c r="Q10" s="43" t="str">
        <x:v>Days–Weeks</x:v>
      </x:c>
      <x:c r="R10" s="43" t="str">
        <x:v>Minutes–Hours</x:v>
      </x:c>
      <x:c r="S10" s="43" t="str">
        <x:v>Often persists for days to months; updating depends on counterevidence and confidence.</x:v>
      </x:c>
      <x:c r="T10" s="43" t="str">
        <x:v>Predicted success; effort choice; persistence expectation</x:v>
      </x:c>
      <x:c r="U10" s="43" t="str">
        <x:v>Validated construct-specific scales; structured belief elicitation; choice or expectancy tasks; repeated assessment</x:v>
      </x:c>
      <x:c r="V10" s="43" t="str">
        <x:v>Moderate</x:v>
      </x:c>
      <x:c r="W10" s="43" t="str">
        <x:v>Self-report may conflate evaluation, expectancy, and intention; behavior-specific wording and temporal alignment are essential.</x:v>
      </x:c>
      <x:c r="X10" s="43" t="str">
        <x:v>Strong</x:v>
      </x:c>
      <x:c r="Y10" s="43" t="str">
        <x:v>Supported by established theory, validated measures, and converging review, meta-analytic, experimental, or longitudinal evidence. Magnitude and behavioral direction remain conditional on context. Representative records: SRC108; SRC111; SRC118.</x:v>
      </x:c>
      <x:c r="Z10" s="43" t="str">
        <x:v>Treating a favorable belief or attitude as sufficient for behavior despite capability, opportunity, habits, or competing goals.</x:v>
      </x:c>
      <x:c r="AA10" s="43" t="str">
        <x:v>SRC108; SRC111; SRC118</x:v>
      </x:c>
    </x:row>
    <x:row r="11" ht="72" customHeight="1">
      <x:c r="A11" s="43" t="str">
        <x:v>PSY-007</x:v>
      </x:c>
      <x:c r="B11" s="43" t="str">
        <x:v>Perceived Relevance</x:v>
      </x:c>
      <x:c r="C11" s="43" t="str">
        <x:v>Personal relevance; perceived applicability</x:v>
      </x:c>
      <x:c r="D11" s="43" t="str">
        <x:v>Psychological</x:v>
      </x:c>
      <x:c r="E11" s="43" t="str">
        <x:v>Beliefs, Attitudes &amp; Outcome Expectancies</x:v>
      </x:c>
      <x:c r="F11" s="43" t="str">
        <x:v>The degree to which a cue, issue, outcome, or action is judged pertinent to the person's current goals, identity, needs, or situation.</x:v>
      </x:c>
      <x:c r="G11" s="43" t="str">
        <x:v>Unipolar continuous</x:v>
      </x:c>
      <x:c r="H11" s="43" t="str">
        <x:v>Low–high relevance rating; relevance probability</x:v>
      </x:c>
      <x:c r="I11" s="43" t="str">
        <x:v>Higher values = greater judged personal or task relevance.</x:v>
      </x:c>
      <x:c r="J11" s="43" t="str">
        <x:v>Increases allocation of attention and elaboration and changes the weight placed on associated information.</x:v>
      </x:c>
      <x:c r="K11" s="43" t="str">
        <x:v>Prior experience; information exposure; observed outcomes; social evaluation; affective response</x:v>
      </x:c>
      <x:c r="L11" s="43" t="str">
        <x:v>Intention strength; option preference; effort allocation; persistence; information acceptance</x:v>
      </x:c>
      <x:c r="M11" s="43" t="str">
        <x:v>Behavioral specificity, direct experience, attitude accessibility, temporal stability, opportunity, and competing goals.</x:v>
      </x:c>
      <x:c r="N11" s="43" t="str">
        <x:v>Metacognitive Confidence; Perceived Descriptive Norm; Self-Efficacy; Outcome Valuation</x:v>
      </x:c>
      <x:c r="O11" s="43" t="str">
        <x:v>High</x:v>
      </x:c>
      <x:c r="P11" s="43" t="str">
        <x:v>Moderate</x:v>
      </x:c>
      <x:c r="Q11" s="43" t="str">
        <x:v>Minutes–Hours</x:v>
      </x:c>
      <x:c r="R11" s="43" t="str">
        <x:v>Seconds–Minutes</x:v>
      </x:c>
      <x:c r="S11" s="43" t="str">
        <x:v>Usually reversible as cues, resources, or interpretations change; repeated appraisal can stabilize.</x:v>
      </x:c>
      <x:c r="T11" s="43" t="str">
        <x:v>Attention; elaboration; relevance ratings; recall priority</x:v>
      </x:c>
      <x:c r="U11" s="43" t="str">
        <x:v>Validated construct-specific scales; structured belief elicitation; choice or expectancy tasks; repeated assessment</x:v>
      </x:c>
      <x:c r="V11" s="43" t="str">
        <x:v>Moderate</x:v>
      </x:c>
      <x:c r="W11" s="43" t="str">
        <x:v>Self-report may conflate evaluation, expectancy, and intention; behavior-specific wording and temporal alignment are essential.</x:v>
      </x:c>
      <x:c r="X11" s="43" t="str">
        <x:v>Moderate</x:v>
      </x:c>
      <x:c r="Y11" s="43" t="str">
        <x:v>Scientifically defensible with substantial supporting literature, while causal identification, construct boundaries, measurement, or transferability remain context dependent. Representative records: SRC117; SRC156.</x:v>
      </x:c>
      <x:c r="Z11" s="43" t="str">
        <x:v>Treating a favorable belief or attitude as sufficient for behavior despite capability, opportunity, habits, or competing goals.</x:v>
      </x:c>
      <x:c r="AA11" s="43" t="str">
        <x:v>SRC117; SRC156</x:v>
      </x:c>
    </x:row>
    <x:row r="12" ht="72" customHeight="1">
      <x:c r="A12" s="43" t="str">
        <x:v>PSY-008</x:v>
      </x:c>
      <x:c r="B12" s="43" t="str">
        <x:v>Perceived Outcome Likelihood</x:v>
      </x:c>
      <x:c r="C12" s="43" t="str">
        <x:v>Perceived susceptibility; perceived vulnerability; subjective likelihood</x:v>
      </x:c>
      <x:c r="D12" s="43" t="str">
        <x:v>Psychological</x:v>
      </x:c>
      <x:c r="E12" s="43" t="str">
        <x:v>Risk, Threat &amp; Coping Appraisal</x:v>
      </x:c>
      <x:c r="F12" s="43" t="str">
        <x:v>The subjective probability that a specified adverse or beneficial outcome will occur under stated conditions.</x:v>
      </x:c>
      <x:c r="G12" s="43" t="str">
        <x:v>Unipolar continuous</x:v>
      </x:c>
      <x:c r="H12" s="43" t="str">
        <x:v>0–1 probability; percentage; ordinal likelihood</x:v>
      </x:c>
      <x:c r="I12" s="43" t="str">
        <x:v>Higher values = greater judged likelihood of the specified outcome.</x:v>
      </x:c>
      <x:c r="J12" s="43" t="str">
        <x:v>Changes expected costs and benefits and therefore vigilance, preparation, avoidance, or pursuit.</x:v>
      </x:c>
      <x:c r="K12" s="43" t="str">
        <x:v>Threat cues; bodily sensations; prior outcomes; risk communication; actual control and resources</x:v>
      </x:c>
      <x:c r="L12" s="43" t="str">
        <x:v>Protective intention; vigilance; avoidance; coping selection; fear and anxiety</x:v>
      </x:c>
      <x:c r="M12" s="43" t="str">
        <x:v>Response efficacy, personal capability, immediacy, uncertainty, prior experience, and resource availability.</x:v>
      </x:c>
      <x:c r="N12" s="43" t="str">
        <x:v>Fear Intensity; Response Efficacy; Self-Efficacy; Perceived Outcome Likelihood</x:v>
      </x:c>
      <x:c r="O12" s="43" t="str">
        <x:v>High</x:v>
      </x:c>
      <x:c r="P12" s="43" t="str">
        <x:v>Moderate</x:v>
      </x:c>
      <x:c r="Q12" s="43" t="str">
        <x:v>Minutes–Hours</x:v>
      </x:c>
      <x:c r="R12" s="43" t="str">
        <x:v>Seconds–Minutes</x:v>
      </x:c>
      <x:c r="S12" s="43" t="str">
        <x:v>Usually reversible as cues, resources, or interpretations change; repeated appraisal can stabilize.</x:v>
      </x:c>
      <x:c r="T12" s="43" t="str">
        <x:v>Probability estimate; susceptibility rating; preparedness intention</x:v>
      </x:c>
      <x:c r="U12" s="43" t="str">
        <x:v>Threat- and coping-appraisal scales; probability/severity elicitation; scenario tasks; repeated state assessment</x:v>
      </x:c>
      <x:c r="V12" s="43" t="str">
        <x:v>Moderate</x:v>
      </x:c>
      <x:c r="W12" s="43" t="str">
        <x:v>Appraisals are domain- and time-specific and may diverge from objective hazard, actual skill, or actual control.</x:v>
      </x:c>
      <x:c r="X12" s="43" t="str">
        <x:v>Strong</x:v>
      </x:c>
      <x:c r="Y12" s="43" t="str">
        <x:v>Supported by established theory, validated measures, and converging review, meta-analytic, experimental, or longitudinal evidence. Magnitude and behavioral direction remain conditional on context. Representative records: SRC124; SRC107.</x:v>
      </x:c>
      <x:c r="Z12" s="43" t="str">
        <x:v>Assuming higher threat always increases protective action; low efficacy can instead produce denial, avoidance, or paralysis.</x:v>
      </x:c>
      <x:c r="AA12" s="43" t="str">
        <x:v>SRC124; SRC107</x:v>
      </x:c>
    </x:row>
    <x:row r="13" ht="72" customHeight="1">
      <x:c r="A13" s="43" t="str">
        <x:v>PSY-009</x:v>
      </x:c>
      <x:c r="B13" s="43" t="str">
        <x:v>Perceived Threat Severity</x:v>
      </x:c>
      <x:c r="C13" s="43" t="str">
        <x:v>Perceived severity; consequence seriousness</x:v>
      </x:c>
      <x:c r="D13" s="43" t="str">
        <x:v>Psychological</x:v>
      </x:c>
      <x:c r="E13" s="43" t="str">
        <x:v>Risk, Threat &amp; Coping Appraisal</x:v>
      </x:c>
      <x:c r="F13" s="43" t="str">
        <x:v>The judged magnitude of harm or seriousness associated with a specified threat outcome.</x:v>
      </x:c>
      <x:c r="G13" s="43" t="str">
        <x:v>Magnitude / level</x:v>
      </x:c>
      <x:c r="H13" s="43" t="str">
        <x:v>Low–high severity; expected loss magnitude; multidomain severity profile</x:v>
      </x:c>
      <x:c r="I13" s="43" t="str">
        <x:v>Higher values = greater perceived seriousness or harm.</x:v>
      </x:c>
      <x:c r="J13" s="43" t="str">
        <x:v>Raises the subjective cost of exposure and can increase protective motivation when coping is judged feasible.</x:v>
      </x:c>
      <x:c r="K13" s="43" t="str">
        <x:v>Threat cues; bodily sensations; prior outcomes; risk communication; actual control and resources</x:v>
      </x:c>
      <x:c r="L13" s="43" t="str">
        <x:v>Protective intention; vigilance; avoidance; coping selection; fear and anxiety</x:v>
      </x:c>
      <x:c r="M13" s="43" t="str">
        <x:v>Response efficacy, personal capability, immediacy, uncertainty, prior experience, and resource availability.</x:v>
      </x:c>
      <x:c r="N13" s="43" t="str">
        <x:v>Fear Intensity; Response Efficacy; Self-Efficacy; Perceived Outcome Likelihood</x:v>
      </x:c>
      <x:c r="O13" s="43" t="str">
        <x:v>High</x:v>
      </x:c>
      <x:c r="P13" s="43" t="str">
        <x:v>Moderate</x:v>
      </x:c>
      <x:c r="Q13" s="43" t="str">
        <x:v>Minutes–Hours</x:v>
      </x:c>
      <x:c r="R13" s="43" t="str">
        <x:v>Seconds–Minutes</x:v>
      </x:c>
      <x:c r="S13" s="43" t="str">
        <x:v>Usually reversible as cues, resources, or interpretations change; repeated appraisal can stabilize.</x:v>
      </x:c>
      <x:c r="T13" s="43" t="str">
        <x:v>Severity rating; anticipated harm; prioritization of protective action</x:v>
      </x:c>
      <x:c r="U13" s="43" t="str">
        <x:v>Threat- and coping-appraisal scales; probability/severity elicitation; scenario tasks; repeated state assessment</x:v>
      </x:c>
      <x:c r="V13" s="43" t="str">
        <x:v>Moderate</x:v>
      </x:c>
      <x:c r="W13" s="43" t="str">
        <x:v>Appraisals are domain- and time-specific and may diverge from objective hazard, actual skill, or actual control.</x:v>
      </x:c>
      <x:c r="X13" s="43" t="str">
        <x:v>Strong</x:v>
      </x:c>
      <x:c r="Y13" s="43" t="str">
        <x:v>Supported by established theory, validated measures, and converging review, meta-analytic, experimental, or longitudinal evidence. Magnitude and behavioral direction remain conditional on context. Representative records: SRC124; SRC137.</x:v>
      </x:c>
      <x:c r="Z13" s="43" t="str">
        <x:v>Assuming higher threat always increases protective action; low efficacy can instead produce denial, avoidance, or paralysis.</x:v>
      </x:c>
      <x:c r="AA13" s="43" t="str">
        <x:v>SRC124; SRC137</x:v>
      </x:c>
    </x:row>
    <x:row r="14" ht="72" customHeight="1">
      <x:c r="A14" s="43" t="str">
        <x:v>PSY-010</x:v>
      </x:c>
      <x:c r="B14" s="43" t="str">
        <x:v>Response Efficacy</x:v>
      </x:c>
      <x:c r="C14" s="43" t="str">
        <x:v>Treatment efficacy belief; protective-response efficacy</x:v>
      </x:c>
      <x:c r="D14" s="43" t="str">
        <x:v>Psychological</x:v>
      </x:c>
      <x:c r="E14" s="43" t="str">
        <x:v>Risk, Threat &amp; Coping Appraisal</x:v>
      </x:c>
      <x:c r="F14" s="43" t="str">
        <x:v>The degree to which a specified response is believed capable of reducing a threat or producing its intended protective effect.</x:v>
      </x:c>
      <x:c r="G14" s="43" t="str">
        <x:v>Unipolar continuous</x:v>
      </x:c>
      <x:c r="H14" s="43" t="str">
        <x:v>0–1 expected effectiveness; low–high efficacy</x:v>
      </x:c>
      <x:c r="I14" s="43" t="str">
        <x:v>Higher values = greater expected effectiveness of the response.</x:v>
      </x:c>
      <x:c r="J14" s="43" t="str">
        <x:v>Determines whether a proposed action is represented as instrumentally useful.</x:v>
      </x:c>
      <x:c r="K14" s="43" t="str">
        <x:v>Threat cues; bodily sensations; prior outcomes; risk communication; actual control and resources</x:v>
      </x:c>
      <x:c r="L14" s="43" t="str">
        <x:v>Protective intention; vigilance; avoidance; coping selection; fear and anxiety</x:v>
      </x:c>
      <x:c r="M14" s="43" t="str">
        <x:v>Response efficacy, personal capability, immediacy, uncertainty, prior experience, and resource availability.</x:v>
      </x:c>
      <x:c r="N14" s="43" t="str">
        <x:v>Fear Intensity; Response Efficacy; Self-Efficacy; Perceived Outcome Likelihood</x:v>
      </x:c>
      <x:c r="O14" s="43" t="str">
        <x:v>Moderate</x:v>
      </x:c>
      <x:c r="P14" s="43" t="str">
        <x:v>Low</x:v>
      </x:c>
      <x:c r="Q14" s="43" t="str">
        <x:v>Days–Weeks</x:v>
      </x:c>
      <x:c r="R14" s="43" t="str">
        <x:v>Minutes–Hours</x:v>
      </x:c>
      <x:c r="S14" s="43" t="str">
        <x:v>Often persists for days to months; updating depends on counterevidence and confidence.</x:v>
      </x:c>
      <x:c r="T14" s="43" t="str">
        <x:v>Effectiveness rating; intervention choice; expected risk reduction</x:v>
      </x:c>
      <x:c r="U14" s="43" t="str">
        <x:v>Threat- and coping-appraisal scales; probability/severity elicitation; scenario tasks; repeated state assessment</x:v>
      </x:c>
      <x:c r="V14" s="43" t="str">
        <x:v>Moderate</x:v>
      </x:c>
      <x:c r="W14" s="43" t="str">
        <x:v>Appraisals are domain- and time-specific and may diverge from objective hazard, actual skill, or actual control.</x:v>
      </x:c>
      <x:c r="X14" s="43" t="str">
        <x:v>Strong</x:v>
      </x:c>
      <x:c r="Y14" s="43" t="str">
        <x:v>Supported by established theory, validated measures, and converging review, meta-analytic, experimental, or longitudinal evidence. Magnitude and behavioral direction remain conditional on context. Representative records: SRC124; SRC107.</x:v>
      </x:c>
      <x:c r="Z14" s="43" t="str">
        <x:v>Assuming higher threat always increases protective action; low efficacy can instead produce denial, avoidance, or paralysis.</x:v>
      </x:c>
      <x:c r="AA14" s="43" t="str">
        <x:v>SRC124; SRC107</x:v>
      </x:c>
    </x:row>
    <x:row r="15" ht="72" customHeight="1">
      <x:c r="A15" s="43" t="str">
        <x:v>PSY-011</x:v>
      </x:c>
      <x:c r="B15" s="43" t="str">
        <x:v>Self-Efficacy</x:v>
      </x:c>
      <x:c r="C15" s="43" t="str">
        <x:v>Perceived capability; task self-efficacy</x:v>
      </x:c>
      <x:c r="D15" s="43" t="str">
        <x:v>Psychological</x:v>
      </x:c>
      <x:c r="E15" s="43" t="str">
        <x:v>Risk, Threat &amp; Coping Appraisal</x:v>
      </x:c>
      <x:c r="F15" s="43" t="str">
        <x:v>The degree to which a person believes they can successfully execute a specified action under relevant conditions.</x:v>
      </x:c>
      <x:c r="G15" s="43" t="str">
        <x:v>Unipolar continuous</x:v>
      </x:c>
      <x:c r="H15" s="43" t="str">
        <x:v>Behavior-specific 0–100 confidence items; low–high capability</x:v>
      </x:c>
      <x:c r="I15" s="43" t="str">
        <x:v>Higher values = greater perceived personal capability.</x:v>
      </x:c>
      <x:c r="J15" s="43" t="str">
        <x:v>Alters action choice, effort, persistence, and recovery from setbacks through perceived capability.</x:v>
      </x:c>
      <x:c r="K15" s="43" t="str">
        <x:v>Threat cues; bodily sensations; prior outcomes; risk communication; actual control and resources</x:v>
      </x:c>
      <x:c r="L15" s="43" t="str">
        <x:v>Protective intention; vigilance; avoidance; coping selection; fear and anxiety</x:v>
      </x:c>
      <x:c r="M15" s="43" t="str">
        <x:v>Response efficacy, personal capability, immediacy, uncertainty, prior experience, and resource availability.</x:v>
      </x:c>
      <x:c r="N15" s="43" t="str">
        <x:v>Fear Intensity; Response Efficacy; Self-Efficacy; Perceived Outcome Likelihood</x:v>
      </x:c>
      <x:c r="O15" s="43" t="str">
        <x:v>Moderate</x:v>
      </x:c>
      <x:c r="P15" s="43" t="str">
        <x:v>Low</x:v>
      </x:c>
      <x:c r="Q15" s="43" t="str">
        <x:v>Days–Weeks</x:v>
      </x:c>
      <x:c r="R15" s="43" t="str">
        <x:v>Minutes–Hours</x:v>
      </x:c>
      <x:c r="S15" s="43" t="str">
        <x:v>Often persists for days to months; updating depends on counterevidence and confidence.</x:v>
      </x:c>
      <x:c r="T15" s="43" t="str">
        <x:v>Capability confidence; task choice; effort and persistence</x:v>
      </x:c>
      <x:c r="U15" s="43" t="str">
        <x:v>Threat- and coping-appraisal scales; probability/severity elicitation; scenario tasks; repeated state assessment</x:v>
      </x:c>
      <x:c r="V15" s="43" t="str">
        <x:v>Moderate</x:v>
      </x:c>
      <x:c r="W15" s="43" t="str">
        <x:v>Appraisals are domain- and time-specific and may diverge from objective hazard, actual skill, or actual control.</x:v>
      </x:c>
      <x:c r="X15" s="43" t="str">
        <x:v>Strong</x:v>
      </x:c>
      <x:c r="Y15" s="43" t="str">
        <x:v>Supported by established theory, validated measures, and converging review, meta-analytic, experimental, or longitudinal evidence. Magnitude and behavioral direction remain conditional on context. Representative records: SRC111; SRC112; SRC107.</x:v>
      </x:c>
      <x:c r="Z15" s="43" t="str">
        <x:v>Assuming higher threat always increases protective action; low efficacy can instead produce denial, avoidance, or paralysis.</x:v>
      </x:c>
      <x:c r="AA15" s="43" t="str">
        <x:v>SRC111; SRC112; SRC107</x:v>
      </x:c>
    </x:row>
    <x:row r="16" ht="72" customHeight="1">
      <x:c r="A16" s="43" t="str">
        <x:v>PSY-012</x:v>
      </x:c>
      <x:c r="B16" s="43" t="str">
        <x:v>Perceived Behavioral Control</x:v>
      </x:c>
      <x:c r="C16" s="43" t="str">
        <x:v>Perceived control over behavior; controllability of action</x:v>
      </x:c>
      <x:c r="D16" s="43" t="str">
        <x:v>Psychological</x:v>
      </x:c>
      <x:c r="E16" s="43" t="str">
        <x:v>Risk, Threat &amp; Coping Appraisal</x:v>
      </x:c>
      <x:c r="F16" s="43" t="str">
        <x:v>The judged ease or difficulty of performing a specified behavior, including perceived control over internal and external constraints.</x:v>
      </x:c>
      <x:c r="G16" s="43" t="str">
        <x:v>Unipolar continuous</x:v>
      </x:c>
      <x:c r="H16" s="43" t="str">
        <x:v>Very difficult–very easy; no control–complete control</x:v>
      </x:c>
      <x:c r="I16" s="43" t="str">
        <x:v>Higher values = greater perceived control or ease.</x:v>
      </x:c>
      <x:c r="J16" s="43" t="str">
        <x:v>Shapes intention and can predict action when it tracks actual control.</x:v>
      </x:c>
      <x:c r="K16" s="43" t="str">
        <x:v>Threat cues; bodily sensations; prior outcomes; risk communication; actual control and resources</x:v>
      </x:c>
      <x:c r="L16" s="43" t="str">
        <x:v>Protective intention; vigilance; avoidance; coping selection; fear and anxiety</x:v>
      </x:c>
      <x:c r="M16" s="43" t="str">
        <x:v>Response efficacy, personal capability, immediacy, uncertainty, prior experience, and resource availability.</x:v>
      </x:c>
      <x:c r="N16" s="43" t="str">
        <x:v>Fear Intensity; Response Efficacy; Self-Efficacy; Perceived Outcome Likelihood</x:v>
      </x:c>
      <x:c r="O16" s="43" t="str">
        <x:v>High</x:v>
      </x:c>
      <x:c r="P16" s="43" t="str">
        <x:v>Moderate</x:v>
      </x:c>
      <x:c r="Q16" s="43" t="str">
        <x:v>Minutes–Hours</x:v>
      </x:c>
      <x:c r="R16" s="43" t="str">
        <x:v>Seconds–Minutes</x:v>
      </x:c>
      <x:c r="S16" s="43" t="str">
        <x:v>Usually reversible as cues, resources, or interpretations change; repeated appraisal can stabilize.</x:v>
      </x:c>
      <x:c r="T16" s="43" t="str">
        <x:v>Control ratings; perceived ease; initiation expectation</x:v>
      </x:c>
      <x:c r="U16" s="43" t="str">
        <x:v>Threat- and coping-appraisal scales; probability/severity elicitation; scenario tasks; repeated state assessment</x:v>
      </x:c>
      <x:c r="V16" s="43" t="str">
        <x:v>Moderate</x:v>
      </x:c>
      <x:c r="W16" s="43" t="str">
        <x:v>Appraisals are domain- and time-specific and may diverge from objective hazard, actual skill, or actual control.</x:v>
      </x:c>
      <x:c r="X16" s="43" t="str">
        <x:v>Strong</x:v>
      </x:c>
      <x:c r="Y16" s="43" t="str">
        <x:v>Supported by established theory, validated measures, and converging review, meta-analytic, experimental, or longitudinal evidence. Magnitude and behavioral direction remain conditional on context. Representative records: SRC110; SRC107.</x:v>
      </x:c>
      <x:c r="Z16" s="43" t="str">
        <x:v>Assuming higher threat always increases protective action; low efficacy can instead produce denial, avoidance, or paralysis.</x:v>
      </x:c>
      <x:c r="AA16" s="43" t="str">
        <x:v>SRC110; SRC107</x:v>
      </x:c>
    </x:row>
    <x:row r="17" ht="72" customHeight="1">
      <x:c r="A17" s="43" t="str">
        <x:v>PSY-013</x:v>
      </x:c>
      <x:c r="B17" s="43" t="str">
        <x:v>Perceived Controllability</x:v>
      </x:c>
      <x:c r="C17" s="43" t="str">
        <x:v>Outcome controllability; situational control appraisal</x:v>
      </x:c>
      <x:c r="D17" s="43" t="str">
        <x:v>Psychological</x:v>
      </x:c>
      <x:c r="E17" s="43" t="str">
        <x:v>Risk, Threat &amp; Coping Appraisal</x:v>
      </x:c>
      <x:c r="F17" s="43" t="str">
        <x:v>The judged degree to which a specified situation or outcome can be influenced by one's actions or available responses.</x:v>
      </x:c>
      <x:c r="G17" s="43" t="str">
        <x:v>Unipolar continuous</x:v>
      </x:c>
      <x:c r="H17" s="43" t="str">
        <x:v>No control–complete control; low–high influence</x:v>
      </x:c>
      <x:c r="I17" s="43" t="str">
        <x:v>Higher values = greater perceived ability to influence the situation or outcome.</x:v>
      </x:c>
      <x:c r="J17" s="43" t="str">
        <x:v>Changes coping selection, effort, stress appraisal, and willingness to act.</x:v>
      </x:c>
      <x:c r="K17" s="43" t="str">
        <x:v>Threat cues; bodily sensations; prior outcomes; risk communication; actual control and resources</x:v>
      </x:c>
      <x:c r="L17" s="43" t="str">
        <x:v>Protective intention; vigilance; avoidance; coping selection; fear and anxiety</x:v>
      </x:c>
      <x:c r="M17" s="43" t="str">
        <x:v>Response efficacy, personal capability, immediacy, uncertainty, prior experience, and resource availability.</x:v>
      </x:c>
      <x:c r="N17" s="43" t="str">
        <x:v>Fear Intensity; Response Efficacy; Self-Efficacy; Perceived Outcome Likelihood</x:v>
      </x:c>
      <x:c r="O17" s="43" t="str">
        <x:v>High</x:v>
      </x:c>
      <x:c r="P17" s="43" t="str">
        <x:v>Moderate</x:v>
      </x:c>
      <x:c r="Q17" s="43" t="str">
        <x:v>Minutes–Hours</x:v>
      </x:c>
      <x:c r="R17" s="43" t="str">
        <x:v>Seconds–Minutes</x:v>
      </x:c>
      <x:c r="S17" s="43" t="str">
        <x:v>Usually reversible as cues, resources, or interpretations change; repeated appraisal can stabilize.</x:v>
      </x:c>
      <x:c r="T17" s="43" t="str">
        <x:v>Control appraisal; action–outcome contingency rating; coping choice</x:v>
      </x:c>
      <x:c r="U17" s="43" t="str">
        <x:v>Threat- and coping-appraisal scales; probability/severity elicitation; scenario tasks; repeated state assessment</x:v>
      </x:c>
      <x:c r="V17" s="43" t="str">
        <x:v>Moderate</x:v>
      </x:c>
      <x:c r="W17" s="43" t="str">
        <x:v>Appraisals are domain- and time-specific and may diverge from objective hazard, actual skill, or actual control.</x:v>
      </x:c>
      <x:c r="X17" s="43" t="str">
        <x:v>Moderate</x:v>
      </x:c>
      <x:c r="Y17" s="43" t="str">
        <x:v>Scientifically defensible with substantial supporting literature, while causal identification, construct boundaries, measurement, or transferability remain context dependent. Representative records: SRC124; SRC122.</x:v>
      </x:c>
      <x:c r="Z17" s="43" t="str">
        <x:v>Assuming higher threat always increases protective action; low efficacy can instead produce denial, avoidance, or paralysis.</x:v>
      </x:c>
      <x:c r="AA17" s="43" t="str">
        <x:v>SRC124; SRC122</x:v>
      </x:c>
    </x:row>
    <x:row r="18" ht="72" customHeight="1">
      <x:c r="A18" s="43" t="str">
        <x:v>PSY-014</x:v>
      </x:c>
      <x:c r="B18" s="43" t="str">
        <x:v>Coping Self-Efficacy</x:v>
      </x:c>
      <x:c r="C18" s="43" t="str">
        <x:v>Coping efficacy; stress-management self-efficacy</x:v>
      </x:c>
      <x:c r="D18" s="43" t="str">
        <x:v>Psychological</x:v>
      </x:c>
      <x:c r="E18" s="43" t="str">
        <x:v>Risk, Threat &amp; Coping Appraisal</x:v>
      </x:c>
      <x:c r="F18" s="43" t="str">
        <x:v>The belief that one can deploy effective cognitive, emotional, or behavioral responses to manage a specified stressor.</x:v>
      </x:c>
      <x:c r="G18" s="43" t="str">
        <x:v>Unipolar continuous</x:v>
      </x:c>
      <x:c r="H18" s="43" t="str">
        <x:v>Situation-specific low–high confidence scale</x:v>
      </x:c>
      <x:c r="I18" s="43" t="str">
        <x:v>Higher values = greater perceived ability to cope effectively.</x:v>
      </x:c>
      <x:c r="J18" s="43" t="str">
        <x:v>Supports engagement and adaptive coping while reducing helpless or avoidant responses.</x:v>
      </x:c>
      <x:c r="K18" s="43" t="str">
        <x:v>Threat cues; bodily sensations; prior outcomes; risk communication; actual control and resources</x:v>
      </x:c>
      <x:c r="L18" s="43" t="str">
        <x:v>Protective intention; vigilance; avoidance; coping selection; fear and anxiety</x:v>
      </x:c>
      <x:c r="M18" s="43" t="str">
        <x:v>Response efficacy, personal capability, immediacy, uncertainty, prior experience, and resource availability.</x:v>
      </x:c>
      <x:c r="N18" s="43" t="str">
        <x:v>Fear Intensity; Response Efficacy; Self-Efficacy; Perceived Outcome Likelihood</x:v>
      </x:c>
      <x:c r="O18" s="43" t="str">
        <x:v>Moderate</x:v>
      </x:c>
      <x:c r="P18" s="43" t="str">
        <x:v>Low</x:v>
      </x:c>
      <x:c r="Q18" s="43" t="str">
        <x:v>Days–Weeks</x:v>
      </x:c>
      <x:c r="R18" s="43" t="str">
        <x:v>Minutes–Hours</x:v>
      </x:c>
      <x:c r="S18" s="43" t="str">
        <x:v>Often persists for days to months; updating depends on counterevidence and confidence.</x:v>
      </x:c>
      <x:c r="T18" s="43" t="str">
        <x:v>Coping confidence; strategy use; persistence under stress</x:v>
      </x:c>
      <x:c r="U18" s="43" t="str">
        <x:v>Threat- and coping-appraisal scales; probability/severity elicitation; scenario tasks; repeated state assessment</x:v>
      </x:c>
      <x:c r="V18" s="43" t="str">
        <x:v>Moderate</x:v>
      </x:c>
      <x:c r="W18" s="43" t="str">
        <x:v>Appraisals are domain- and time-specific and may diverge from objective hazard, actual skill, or actual control.</x:v>
      </x:c>
      <x:c r="X18" s="43" t="str">
        <x:v>Moderate</x:v>
      </x:c>
      <x:c r="Y18" s="43" t="str">
        <x:v>Scientifically defensible with substantial supporting literature, while causal identification, construct boundaries, measurement, or transferability remain context dependent. Representative records: SRC111; SRC121.</x:v>
      </x:c>
      <x:c r="Z18" s="43" t="str">
        <x:v>Assuming higher threat always increases protective action; low efficacy can instead produce denial, avoidance, or paralysis.</x:v>
      </x:c>
      <x:c r="AA18" s="43" t="str">
        <x:v>SRC111; SRC121</x:v>
      </x:c>
    </x:row>
    <x:row r="19" ht="72" customHeight="1">
      <x:c r="A19" s="43" t="str">
        <x:v>PSY-015</x:v>
      </x:c>
      <x:c r="B19" s="43" t="str">
        <x:v>Perceived Helplessness</x:v>
      </x:c>
      <x:c r="C19" s="43" t="str">
        <x:v>Learned helplessness appraisal; lack-of-control belief</x:v>
      </x:c>
      <x:c r="D19" s="43" t="str">
        <x:v>Psychological</x:v>
      </x:c>
      <x:c r="E19" s="43" t="str">
        <x:v>Risk, Threat &amp; Coping Appraisal</x:v>
      </x:c>
      <x:c r="F19" s="43" t="str">
        <x:v>The degree to which a person expects that their actions will not meaningfully influence important outcomes in a specified context.</x:v>
      </x:c>
      <x:c r="G19" s="43" t="str">
        <x:v>Unipolar continuous</x:v>
      </x:c>
      <x:c r="H19" s="43" t="str">
        <x:v>Low–high helplessness; controllability-reversed scale</x:v>
      </x:c>
      <x:c r="I19" s="43" t="str">
        <x:v>Higher values = greater expected ineffectiveness of personal action.</x:v>
      </x:c>
      <x:c r="J19" s="43" t="str">
        <x:v>Reduces initiation and persistence by weakening expected action–outcome contingency.</x:v>
      </x:c>
      <x:c r="K19" s="43" t="str">
        <x:v>Threat cues; bodily sensations; prior outcomes; risk communication; actual control and resources</x:v>
      </x:c>
      <x:c r="L19" s="43" t="str">
        <x:v>Protective intention; vigilance; avoidance; coping selection; fear and anxiety</x:v>
      </x:c>
      <x:c r="M19" s="43" t="str">
        <x:v>Response efficacy, personal capability, immediacy, uncertainty, prior experience, and resource availability.</x:v>
      </x:c>
      <x:c r="N19" s="43" t="str">
        <x:v>Fear Intensity; Response Efficacy; Self-Efficacy; Perceived Outcome Likelihood</x:v>
      </x:c>
      <x:c r="O19" s="43" t="str">
        <x:v>Moderate</x:v>
      </x:c>
      <x:c r="P19" s="43" t="str">
        <x:v>Low</x:v>
      </x:c>
      <x:c r="Q19" s="43" t="str">
        <x:v>Days–Weeks</x:v>
      </x:c>
      <x:c r="R19" s="43" t="str">
        <x:v>Minutes–Hours</x:v>
      </x:c>
      <x:c r="S19" s="43" t="str">
        <x:v>Often persists for days to months; updating depends on counterevidence and confidence.</x:v>
      </x:c>
      <x:c r="T19" s="43" t="str">
        <x:v>Passivity; disengagement; low controllability judgments</x:v>
      </x:c>
      <x:c r="U19" s="43" t="str">
        <x:v>Threat- and coping-appraisal scales; probability/severity elicitation; scenario tasks; repeated state assessment</x:v>
      </x:c>
      <x:c r="V19" s="43" t="str">
        <x:v>Moderate</x:v>
      </x:c>
      <x:c r="W19" s="43" t="str">
        <x:v>Appraisals are domain- and time-specific and may diverge from objective hazard, actual skill, or actual control.</x:v>
      </x:c>
      <x:c r="X19" s="43" t="str">
        <x:v>Moderate</x:v>
      </x:c>
      <x:c r="Y19" s="43" t="str">
        <x:v>Scientifically defensible with substantial supporting literature, while causal identification, construct boundaries, measurement, or transferability remain context dependent. Representative records: SRC109; SRC122.</x:v>
      </x:c>
      <x:c r="Z19" s="43" t="str">
        <x:v>Assuming higher threat always increases protective action; low efficacy can instead produce denial, avoidance, or paralysis.</x:v>
      </x:c>
      <x:c r="AA19" s="43" t="str">
        <x:v>SRC109; SRC122</x:v>
      </x:c>
    </x:row>
    <x:row r="20" ht="72" customHeight="1">
      <x:c r="A20" s="43" t="str">
        <x:v>PSY-016</x:v>
      </x:c>
      <x:c r="B20" s="43" t="str">
        <x:v>Perceived Descriptive Norm</x:v>
      </x:c>
      <x:c r="C20" s="43" t="str">
        <x:v>Perceived prevalence; what others do</x:v>
      </x:c>
      <x:c r="D20" s="43" t="str">
        <x:v>Psychological</x:v>
      </x:c>
      <x:c r="E20" s="43" t="str">
        <x:v>Normative &amp; Relational Perceptions</x:v>
      </x:c>
      <x:c r="F20" s="43" t="str">
        <x:v>The judged prevalence or frequency of a specified behavior among a relevant reference group.</x:v>
      </x:c>
      <x:c r="G20" s="43" t="str">
        <x:v>Proportion</x:v>
      </x:c>
      <x:c r="H20" s="43" t="str">
        <x:v>Estimated percentage; frequency distribution; low–high prevalence</x:v>
      </x:c>
      <x:c r="I20" s="43" t="str">
        <x:v>Higher values = greater perceived prevalence of the behavior.</x:v>
      </x:c>
      <x:c r="J20" s="43" t="str">
        <x:v>Provides social evidence about typical action and can shift expectations and conformity.</x:v>
      </x:c>
      <x:c r="K20" s="43" t="str">
        <x:v>Observed behavior; social communication; relationship history; group cues; institutional conduct</x:v>
      </x:c>
      <x:c r="L20" s="43" t="str">
        <x:v>Conformity; cooperation; help seeking; compliance; withdrawal; collective action</x:v>
      </x:c>
      <x:c r="M20" s="43" t="str">
        <x:v>Reference-group identification, norm visibility, relationship stakes, power, culture, and perceived enforcement.</x:v>
      </x:c>
      <x:c r="N20" s="43" t="str">
        <x:v>Social Identification Strength; Perceived Legitimacy; Anticipated Social Approval; Perceived Fairness</x:v>
      </x:c>
      <x:c r="O20" s="43" t="str">
        <x:v>Moderate</x:v>
      </x:c>
      <x:c r="P20" s="43" t="str">
        <x:v>Moderate</x:v>
      </x:c>
      <x:c r="Q20" s="43" t="str">
        <x:v>Hours–Days</x:v>
      </x:c>
      <x:c r="R20" s="43" t="str">
        <x:v>Minutes–Hours</x:v>
      </x:c>
      <x:c r="S20" s="43" t="str">
        <x:v>Can update quickly after salient evidence but often persists through selective exposure and relationship history.</x:v>
      </x:c>
      <x:c r="T20" s="43" t="str">
        <x:v>Estimated prevalence; perceived peer frequency; norm-consistent intention</x:v>
      </x:c>
      <x:c r="U20" s="43" t="str">
        <x:v>Perception scales; vignette and scenario tasks; social-network informed surveys; experience sampling</x:v>
      </x:c>
      <x:c r="V20" s="43" t="str">
        <x:v>Moderate</x:v>
      </x:c>
      <x:c r="W20" s="43" t="str">
        <x:v>Perceived social conditions are not interchangeable with measured group conditions and can vary by reference group.</x:v>
      </x:c>
      <x:c r="X20" s="43" t="str">
        <x:v>Strong</x:v>
      </x:c>
      <x:c r="Y20" s="43" t="str">
        <x:v>Supported by established theory, validated measures, and converging review, meta-analytic, experimental, or longitudinal evidence. Magnitude and behavioral direction remain conditional on context. Representative records: SRC132; SRC170; SRC107.</x:v>
      </x:c>
      <x:c r="Z20" s="43" t="str">
        <x:v>Treating perceived norms, trust, or support as direct measures of what the group actually does or provides.</x:v>
      </x:c>
      <x:c r="AA20" s="43" t="str">
        <x:v>SRC132; SRC170; SRC107</x:v>
      </x:c>
    </x:row>
    <x:row r="21" ht="72" customHeight="1">
      <x:c r="A21" s="43" t="str">
        <x:v>PSY-017</x:v>
      </x:c>
      <x:c r="B21" s="43" t="str">
        <x:v>Perceived Injunctive Norm</x:v>
      </x:c>
      <x:c r="C21" s="43" t="str">
        <x:v>Perceived approval norm; what others approve</x:v>
      </x:c>
      <x:c r="D21" s="43" t="str">
        <x:v>Psychological</x:v>
      </x:c>
      <x:c r="E21" s="43" t="str">
        <x:v>Normative &amp; Relational Perceptions</x:v>
      </x:c>
      <x:c r="F21" s="43" t="str">
        <x:v>The judged degree to which relevant others approve or disapprove of a specified behavior.</x:v>
      </x:c>
      <x:c r="G21" s="43" t="str">
        <x:v>Bipolar continuous</x:v>
      </x:c>
      <x:c r="H21" s="43" t="str">
        <x:v>Strong disapproval–neutral–strong approval</x:v>
      </x:c>
      <x:c r="I21" s="43" t="str">
        <x:v>Negative values = disapproval; positive values = approval.</x:v>
      </x:c>
      <x:c r="J21" s="43" t="str">
        <x:v>Changes anticipated social consequences and perceived obligation to conform.</x:v>
      </x:c>
      <x:c r="K21" s="43" t="str">
        <x:v>Observed behavior; social communication; relationship history; group cues; institutional conduct</x:v>
      </x:c>
      <x:c r="L21" s="43" t="str">
        <x:v>Conformity; cooperation; help seeking; compliance; withdrawal; collective action</x:v>
      </x:c>
      <x:c r="M21" s="43" t="str">
        <x:v>Reference-group identification, norm visibility, relationship stakes, power, culture, and perceived enforcement.</x:v>
      </x:c>
      <x:c r="N21" s="43" t="str">
        <x:v>Social Identification Strength; Perceived Legitimacy; Anticipated Social Approval; Perceived Fairness</x:v>
      </x:c>
      <x:c r="O21" s="43" t="str">
        <x:v>Moderate</x:v>
      </x:c>
      <x:c r="P21" s="43" t="str">
        <x:v>Moderate</x:v>
      </x:c>
      <x:c r="Q21" s="43" t="str">
        <x:v>Hours–Days</x:v>
      </x:c>
      <x:c r="R21" s="43" t="str">
        <x:v>Minutes–Hours</x:v>
      </x:c>
      <x:c r="S21" s="43" t="str">
        <x:v>Can update quickly after salient evidence but often persists through selective exposure and relationship history.</x:v>
      </x:c>
      <x:c r="T21" s="43" t="str">
        <x:v>Approval ratings; anticipated sanction; conformity intention</x:v>
      </x:c>
      <x:c r="U21" s="43" t="str">
        <x:v>Perception scales; vignette and scenario tasks; social-network informed surveys; experience sampling</x:v>
      </x:c>
      <x:c r="V21" s="43" t="str">
        <x:v>Moderate</x:v>
      </x:c>
      <x:c r="W21" s="43" t="str">
        <x:v>Perceived social conditions are not interchangeable with measured group conditions and can vary by reference group.</x:v>
      </x:c>
      <x:c r="X21" s="43" t="str">
        <x:v>Strong</x:v>
      </x:c>
      <x:c r="Y21" s="43" t="str">
        <x:v>Supported by established theory, validated measures, and converging review, meta-analytic, experimental, or longitudinal evidence. Magnitude and behavioral direction remain conditional on context. Representative records: SRC132; SRC110; SRC107.</x:v>
      </x:c>
      <x:c r="Z21" s="43" t="str">
        <x:v>Treating perceived norms, trust, or support as direct measures of what the group actually does or provides.</x:v>
      </x:c>
      <x:c r="AA21" s="43" t="str">
        <x:v>SRC132; SRC110; SRC107</x:v>
      </x:c>
    </x:row>
    <x:row r="22" ht="72" customHeight="1">
      <x:c r="A22" s="43" t="str">
        <x:v>PSY-018</x:v>
      </x:c>
      <x:c r="B22" s="43" t="str">
        <x:v>Anticipated Social Approval</x:v>
      </x:c>
      <x:c r="C22" s="43" t="str">
        <x:v>Expected approval; anticipated acceptance</x:v>
      </x:c>
      <x:c r="D22" s="43" t="str">
        <x:v>Psychological</x:v>
      </x:c>
      <x:c r="E22" s="43" t="str">
        <x:v>Normative &amp; Relational Perceptions</x:v>
      </x:c>
      <x:c r="F22" s="43" t="str">
        <x:v>The expected amount of approval, acceptance, or positive regard from relevant others following a specified action.</x:v>
      </x:c>
      <x:c r="G22" s="43" t="str">
        <x:v>Bipolar continuous</x:v>
      </x:c>
      <x:c r="H22" s="43" t="str">
        <x:v>Expected rejection–neutral–expected approval</x:v>
      </x:c>
      <x:c r="I22" s="43" t="str">
        <x:v>Higher values = greater expected social approval.</x:v>
      </x:c>
      <x:c r="J22" s="43" t="str">
        <x:v>Adds anticipated relational reward or cost to action valuation.</x:v>
      </x:c>
      <x:c r="K22" s="43" t="str">
        <x:v>Observed behavior; social communication; relationship history; group cues; institutional conduct</x:v>
      </x:c>
      <x:c r="L22" s="43" t="str">
        <x:v>Conformity; cooperation; help seeking; compliance; withdrawal; collective action</x:v>
      </x:c>
      <x:c r="M22" s="43" t="str">
        <x:v>Reference-group identification, norm visibility, relationship stakes, power, culture, and perceived enforcement.</x:v>
      </x:c>
      <x:c r="N22" s="43" t="str">
        <x:v>Social Identification Strength; Perceived Legitimacy; Anticipated Social Approval; Perceived Fairness</x:v>
      </x:c>
      <x:c r="O22" s="43" t="str">
        <x:v>High</x:v>
      </x:c>
      <x:c r="P22" s="43" t="str">
        <x:v>Moderate</x:v>
      </x:c>
      <x:c r="Q22" s="43" t="str">
        <x:v>Minutes–Hours</x:v>
      </x:c>
      <x:c r="R22" s="43" t="str">
        <x:v>Seconds–Minutes</x:v>
      </x:c>
      <x:c r="S22" s="43" t="str">
        <x:v>Usually reversible as cues, resources, or interpretations change; repeated appraisal can stabilize.</x:v>
      </x:c>
      <x:c r="T22" s="43" t="str">
        <x:v>Expected praise; anticipated acceptance; social-reward rating</x:v>
      </x:c>
      <x:c r="U22" s="43" t="str">
        <x:v>Perception scales; vignette and scenario tasks; social-network informed surveys; experience sampling</x:v>
      </x:c>
      <x:c r="V22" s="43" t="str">
        <x:v>Moderate</x:v>
      </x:c>
      <x:c r="W22" s="43" t="str">
        <x:v>Perceived social conditions are not interchangeable with measured group conditions and can vary by reference group.</x:v>
      </x:c>
      <x:c r="X22" s="43" t="str">
        <x:v>Moderate</x:v>
      </x:c>
      <x:c r="Y22" s="43" t="str">
        <x:v>Scientifically defensible with substantial supporting literature, while causal identification, construct boundaries, measurement, or transferability remain context dependent. Representative records: SRC132; SRC170.</x:v>
      </x:c>
      <x:c r="Z22" s="43" t="str">
        <x:v>Treating perceived norms, trust, or support as direct measures of what the group actually does or provides.</x:v>
      </x:c>
      <x:c r="AA22" s="43" t="str">
        <x:v>SRC132; SRC170</x:v>
      </x:c>
    </x:row>
    <x:row r="23" ht="72" customHeight="1">
      <x:c r="A23" s="43" t="str">
        <x:v>PSY-019</x:v>
      </x:c>
      <x:c r="B23" s="43" t="str">
        <x:v>Perceived Social Support</x:v>
      </x:c>
      <x:c r="C23" s="43" t="str">
        <x:v>Subjective support availability; perceived support</x:v>
      </x:c>
      <x:c r="D23" s="43" t="str">
        <x:v>Psychological</x:v>
      </x:c>
      <x:c r="E23" s="43" t="str">
        <x:v>Normative &amp; Relational Perceptions</x:v>
      </x:c>
      <x:c r="F23" s="43" t="str">
        <x:v>The degree to which emotional, informational, or instrumental support is judged available from others when needed.</x:v>
      </x:c>
      <x:c r="G23" s="43" t="str">
        <x:v>Multidimensional</x:v>
      </x:c>
      <x:c r="H23" s="43" t="str">
        <x:v>Subscale profile or overall low–high availability</x:v>
      </x:c>
      <x:c r="I23" s="43" t="str">
        <x:v>Higher values = greater perceived availability or adequacy of support.</x:v>
      </x:c>
      <x:c r="J23" s="43" t="str">
        <x:v>Changes coping resources, help seeking, perceived feasibility, and persistence under stress.</x:v>
      </x:c>
      <x:c r="K23" s="43" t="str">
        <x:v>Observed behavior; social communication; relationship history; group cues; institutional conduct</x:v>
      </x:c>
      <x:c r="L23" s="43" t="str">
        <x:v>Conformity; cooperation; help seeking; compliance; withdrawal; collective action</x:v>
      </x:c>
      <x:c r="M23" s="43" t="str">
        <x:v>Reference-group identification, norm visibility, relationship stakes, power, culture, and perceived enforcement.</x:v>
      </x:c>
      <x:c r="N23" s="43" t="str">
        <x:v>Social Identification Strength; Perceived Legitimacy; Anticipated Social Approval; Perceived Fairness</x:v>
      </x:c>
      <x:c r="O23" s="43" t="str">
        <x:v>Moderate</x:v>
      </x:c>
      <x:c r="P23" s="43" t="str">
        <x:v>Moderate</x:v>
      </x:c>
      <x:c r="Q23" s="43" t="str">
        <x:v>Hours–Days</x:v>
      </x:c>
      <x:c r="R23" s="43" t="str">
        <x:v>Minutes–Hours</x:v>
      </x:c>
      <x:c r="S23" s="43" t="str">
        <x:v>Can update quickly after salient evidence but often persists through selective exposure and relationship history.</x:v>
      </x:c>
      <x:c r="T23" s="43" t="str">
        <x:v>Support-availability ratings; help-seeking expectation; named support sources</x:v>
      </x:c>
      <x:c r="U23" s="43" t="str">
        <x:v>Perception scales; vignette and scenario tasks; social-network informed surveys; experience sampling</x:v>
      </x:c>
      <x:c r="V23" s="43" t="str">
        <x:v>Moderate</x:v>
      </x:c>
      <x:c r="W23" s="43" t="str">
        <x:v>Perceived social conditions are not interchangeable with measured group conditions and can vary by reference group.</x:v>
      </x:c>
      <x:c r="X23" s="43" t="str">
        <x:v>Strong</x:v>
      </x:c>
      <x:c r="Y23" s="43" t="str">
        <x:v>Supported by established theory, validated measures, and converging review, meta-analytic, experimental, or longitudinal evidence. Magnitude and behavioral direction remain conditional on context. Representative records: SRC134; SRC108.</x:v>
      </x:c>
      <x:c r="Z23" s="43" t="str">
        <x:v>Treating perceived norms, trust, or support as direct measures of what the group actually does or provides.</x:v>
      </x:c>
      <x:c r="AA23" s="43" t="str">
        <x:v>SRC134; SRC108</x:v>
      </x:c>
    </x:row>
    <x:row r="24" ht="72" customHeight="1">
      <x:c r="A24" s="43" t="str">
        <x:v>PSY-020</x:v>
      </x:c>
      <x:c r="B24" s="43" t="str">
        <x:v>Perceived Belonging</x:v>
      </x:c>
      <x:c r="C24" s="43" t="str">
        <x:v>Belongingness; felt social inclusion</x:v>
      </x:c>
      <x:c r="D24" s="43" t="str">
        <x:v>Psychological</x:v>
      </x:c>
      <x:c r="E24" s="43" t="str">
        <x:v>Normative &amp; Relational Perceptions</x:v>
      </x:c>
      <x:c r="F24" s="43" t="str">
        <x:v>The degree to which a person feels accepted, included, and connected within a relevant relationship or group.</x:v>
      </x:c>
      <x:c r="G24" s="43" t="str">
        <x:v>Unipolar continuous</x:v>
      </x:c>
      <x:c r="H24" s="43" t="str">
        <x:v>Low–high belonging; momentary or chronic scale</x:v>
      </x:c>
      <x:c r="I24" s="43" t="str">
        <x:v>Higher values = stronger felt inclusion and connection.</x:v>
      </x:c>
      <x:c r="J24" s="43" t="str">
        <x:v>Alters affiliation, conformity, withdrawal, and the value of group-related outcomes.</x:v>
      </x:c>
      <x:c r="K24" s="43" t="str">
        <x:v>Observed behavior; social communication; relationship history; group cues; institutional conduct</x:v>
      </x:c>
      <x:c r="L24" s="43" t="str">
        <x:v>Conformity; cooperation; help seeking; compliance; withdrawal; collective action</x:v>
      </x:c>
      <x:c r="M24" s="43" t="str">
        <x:v>Reference-group identification, norm visibility, relationship stakes, power, culture, and perceived enforcement.</x:v>
      </x:c>
      <x:c r="N24" s="43" t="str">
        <x:v>Social Identification Strength; Perceived Legitimacy; Anticipated Social Approval; Perceived Fairness</x:v>
      </x:c>
      <x:c r="O24" s="43" t="str">
        <x:v>Moderate</x:v>
      </x:c>
      <x:c r="P24" s="43" t="str">
        <x:v>Moderate</x:v>
      </x:c>
      <x:c r="Q24" s="43" t="str">
        <x:v>Hours–Days</x:v>
      </x:c>
      <x:c r="R24" s="43" t="str">
        <x:v>Minutes–Hours</x:v>
      </x:c>
      <x:c r="S24" s="43" t="str">
        <x:v>Can update quickly after salient evidence but often persists through selective exposure and relationship history.</x:v>
      </x:c>
      <x:c r="T24" s="43" t="str">
        <x:v>Belonging ratings; inclusion language; affiliation or withdrawal</x:v>
      </x:c>
      <x:c r="U24" s="43" t="str">
        <x:v>Perception scales; vignette and scenario tasks; social-network informed surveys; experience sampling</x:v>
      </x:c>
      <x:c r="V24" s="43" t="str">
        <x:v>Moderate</x:v>
      </x:c>
      <x:c r="W24" s="43" t="str">
        <x:v>Perceived social conditions are not interchangeable with measured group conditions and can vary by reference group.</x:v>
      </x:c>
      <x:c r="X24" s="43" t="str">
        <x:v>Strong</x:v>
      </x:c>
      <x:c r="Y24" s="43" t="str">
        <x:v>Supported by established theory, validated measures, and converging review, meta-analytic, experimental, or longitudinal evidence. Magnitude and behavioral direction remain conditional on context. Representative records: SRC135; SRC108.</x:v>
      </x:c>
      <x:c r="Z24" s="43" t="str">
        <x:v>Treating perceived norms, trust, or support as direct measures of what the group actually does or provides.</x:v>
      </x:c>
      <x:c r="AA24" s="43" t="str">
        <x:v>SRC135; SRC108</x:v>
      </x:c>
    </x:row>
    <x:row r="25" ht="72" customHeight="1">
      <x:c r="A25" s="43" t="str">
        <x:v>PSY-021</x:v>
      </x:c>
      <x:c r="B25" s="43" t="str">
        <x:v>Interpersonal Trust</x:v>
      </x:c>
      <x:c r="C25" s="43" t="str">
        <x:v>Relational trust; trust in another person</x:v>
      </x:c>
      <x:c r="D25" s="43" t="str">
        <x:v>Psychological</x:v>
      </x:c>
      <x:c r="E25" s="43" t="str">
        <x:v>Normative &amp; Relational Perceptions</x:v>
      </x:c>
      <x:c r="F25" s="43" t="str">
        <x:v>The willingness to accept vulnerability based on positive expectations about a specified person's intentions or behavior.</x:v>
      </x:c>
      <x:c r="G25" s="43" t="str">
        <x:v>Unipolar continuous</x:v>
      </x:c>
      <x:c r="H25" s="43" t="str">
        <x:v>Low–high trust; probability of reliable or benevolent conduct</x:v>
      </x:c>
      <x:c r="I25" s="43" t="str">
        <x:v>Higher values = greater willingness to rely on the person under vulnerability.</x:v>
      </x:c>
      <x:c r="J25" s="43" t="str">
        <x:v>Reduces perceived transaction risk and supports cooperation, disclosure, and reliance.</x:v>
      </x:c>
      <x:c r="K25" s="43" t="str">
        <x:v>Observed behavior; social communication; relationship history; group cues; institutional conduct</x:v>
      </x:c>
      <x:c r="L25" s="43" t="str">
        <x:v>Conformity; cooperation; help seeking; compliance; withdrawal; collective action</x:v>
      </x:c>
      <x:c r="M25" s="43" t="str">
        <x:v>Reference-group identification, norm visibility, relationship stakes, power, culture, and perceived enforcement.</x:v>
      </x:c>
      <x:c r="N25" s="43" t="str">
        <x:v>Social Identification Strength; Perceived Legitimacy; Anticipated Social Approval; Perceived Fairness</x:v>
      </x:c>
      <x:c r="O25" s="43" t="str">
        <x:v>Moderate</x:v>
      </x:c>
      <x:c r="P25" s="43" t="str">
        <x:v>Moderate</x:v>
      </x:c>
      <x:c r="Q25" s="43" t="str">
        <x:v>Hours–Days</x:v>
      </x:c>
      <x:c r="R25" s="43" t="str">
        <x:v>Minutes–Hours</x:v>
      </x:c>
      <x:c r="S25" s="43" t="str">
        <x:v>Can update quickly after salient evidence but often persists through selective exposure and relationship history.</x:v>
      </x:c>
      <x:c r="T25" s="43" t="str">
        <x:v>Trust ratings; reliance choices; disclosure or delegation</x:v>
      </x:c>
      <x:c r="U25" s="43" t="str">
        <x:v>Perception scales; vignette and scenario tasks; social-network informed surveys; experience sampling</x:v>
      </x:c>
      <x:c r="V25" s="43" t="str">
        <x:v>Moderate</x:v>
      </x:c>
      <x:c r="W25" s="43" t="str">
        <x:v>Perceived social conditions are not interchangeable with measured group conditions and can vary by reference group.</x:v>
      </x:c>
      <x:c r="X25" s="43" t="str">
        <x:v>Moderate</x:v>
      </x:c>
      <x:c r="Y25" s="43" t="str">
        <x:v>Scientifically defensible with substantial supporting literature, while causal identification, construct boundaries, measurement, or transferability remain context dependent. Representative records: SRC136; SRC109.</x:v>
      </x:c>
      <x:c r="Z25" s="43" t="str">
        <x:v>Treating perceived norms, trust, or support as direct measures of what the group actually does or provides.</x:v>
      </x:c>
      <x:c r="AA25" s="43" t="str">
        <x:v>SRC136; SRC109</x:v>
      </x:c>
    </x:row>
    <x:row r="26" ht="72" customHeight="1">
      <x:c r="A26" s="43" t="str">
        <x:v>PSY-022</x:v>
      </x:c>
      <x:c r="B26" s="43" t="str">
        <x:v>Perceived Fairness</x:v>
      </x:c>
      <x:c r="C26" s="43" t="str">
        <x:v>Justice perception; perceived procedural or distributive fairness</x:v>
      </x:c>
      <x:c r="D26" s="43" t="str">
        <x:v>Psychological</x:v>
      </x:c>
      <x:c r="E26" s="43" t="str">
        <x:v>Normative &amp; Relational Perceptions</x:v>
      </x:c>
      <x:c r="F26" s="43" t="str">
        <x:v>The degree to which a specified process, treatment, or allocation is judged fair according to relevant standards.</x:v>
      </x:c>
      <x:c r="G26" s="43" t="str">
        <x:v>Multidimensional</x:v>
      </x:c>
      <x:c r="H26" s="43" t="str">
        <x:v>Procedural, distributive, interpersonal, and informational justice subscales</x:v>
      </x:c>
      <x:c r="I26" s="43" t="str">
        <x:v>Higher values = greater perceived fairness.</x:v>
      </x:c>
      <x:c r="J26" s="43" t="str">
        <x:v>Shapes acceptance, trust, obligation, cooperation, and retaliatory motivation.</x:v>
      </x:c>
      <x:c r="K26" s="43" t="str">
        <x:v>Observed behavior; social communication; relationship history; group cues; institutional conduct</x:v>
      </x:c>
      <x:c r="L26" s="43" t="str">
        <x:v>Conformity; cooperation; help seeking; compliance; withdrawal; collective action</x:v>
      </x:c>
      <x:c r="M26" s="43" t="str">
        <x:v>Reference-group identification, norm visibility, relationship stakes, power, culture, and perceived enforcement.</x:v>
      </x:c>
      <x:c r="N26" s="43" t="str">
        <x:v>Social Identification Strength; Perceived Legitimacy; Anticipated Social Approval; Perceived Fairness</x:v>
      </x:c>
      <x:c r="O26" s="43" t="str">
        <x:v>Moderate</x:v>
      </x:c>
      <x:c r="P26" s="43" t="str">
        <x:v>Moderate</x:v>
      </x:c>
      <x:c r="Q26" s="43" t="str">
        <x:v>Hours–Days</x:v>
      </x:c>
      <x:c r="R26" s="43" t="str">
        <x:v>Minutes–Hours</x:v>
      </x:c>
      <x:c r="S26" s="43" t="str">
        <x:v>Can update quickly after salient evidence but often persists through selective exposure and relationship history.</x:v>
      </x:c>
      <x:c r="T26" s="43" t="str">
        <x:v>Justice ratings; acceptance; complaint or retaliation intention</x:v>
      </x:c>
      <x:c r="U26" s="43" t="str">
        <x:v>Perception scales; vignette and scenario tasks; social-network informed surveys; experience sampling</x:v>
      </x:c>
      <x:c r="V26" s="43" t="str">
        <x:v>Moderate</x:v>
      </x:c>
      <x:c r="W26" s="43" t="str">
        <x:v>Perceived social conditions are not interchangeable with measured group conditions and can vary by reference group.</x:v>
      </x:c>
      <x:c r="X26" s="43" t="str">
        <x:v>Strong</x:v>
      </x:c>
      <x:c r="Y26" s="43" t="str">
        <x:v>Supported by established theory, validated measures, and converging review, meta-analytic, experimental, or longitudinal evidence. Magnitude and behavioral direction remain conditional on context. Representative records: SRC133; SRC137.</x:v>
      </x:c>
      <x:c r="Z26" s="43" t="str">
        <x:v>Treating perceived norms, trust, or support as direct measures of what the group actually does or provides.</x:v>
      </x:c>
      <x:c r="AA26" s="43" t="str">
        <x:v>SRC133; SRC137</x:v>
      </x:c>
    </x:row>
    <x:row r="27" ht="72" customHeight="1">
      <x:c r="A27" s="43" t="str">
        <x:v>PSY-023</x:v>
      </x:c>
      <x:c r="B27" s="43" t="str">
        <x:v>Perceived Legitimacy</x:v>
      </x:c>
      <x:c r="C27" s="43" t="str">
        <x:v>Authority legitimacy; perceived rightfulness</x:v>
      </x:c>
      <x:c r="D27" s="43" t="str">
        <x:v>Psychological</x:v>
      </x:c>
      <x:c r="E27" s="43" t="str">
        <x:v>Normative &amp; Relational Perceptions</x:v>
      </x:c>
      <x:c r="F27" s="43" t="str">
        <x:v>The degree to which an authority, institution, rule, or decision is judged rightful and entitled to voluntary deference.</x:v>
      </x:c>
      <x:c r="G27" s="43" t="str">
        <x:v>Unipolar continuous</x:v>
      </x:c>
      <x:c r="H27" s="43" t="str">
        <x:v>Low–high legitimacy; obligation-to-obey scale</x:v>
      </x:c>
      <x:c r="I27" s="43" t="str">
        <x:v>Higher values = greater perceived rightfulness and entitlement to deference.</x:v>
      </x:c>
      <x:c r="J27" s="43" t="str">
        <x:v>Supports voluntary compliance by transforming external demands into felt obligation or accepted authority.</x:v>
      </x:c>
      <x:c r="K27" s="43" t="str">
        <x:v>Observed behavior; social communication; relationship history; group cues; institutional conduct</x:v>
      </x:c>
      <x:c r="L27" s="43" t="str">
        <x:v>Conformity; cooperation; help seeking; compliance; withdrawal; collective action</x:v>
      </x:c>
      <x:c r="M27" s="43" t="str">
        <x:v>Reference-group identification, norm visibility, relationship stakes, power, culture, and perceived enforcement.</x:v>
      </x:c>
      <x:c r="N27" s="43" t="str">
        <x:v>Social Identification Strength; Perceived Legitimacy; Anticipated Social Approval; Perceived Fairness</x:v>
      </x:c>
      <x:c r="O27" s="43" t="str">
        <x:v>Moderate</x:v>
      </x:c>
      <x:c r="P27" s="43" t="str">
        <x:v>Moderate</x:v>
      </x:c>
      <x:c r="Q27" s="43" t="str">
        <x:v>Hours–Days</x:v>
      </x:c>
      <x:c r="R27" s="43" t="str">
        <x:v>Minutes–Hours</x:v>
      </x:c>
      <x:c r="S27" s="43" t="str">
        <x:v>Can update quickly after salient evidence but often persists through selective exposure and relationship history.</x:v>
      </x:c>
      <x:c r="T27" s="43" t="str">
        <x:v>Legitimacy ratings; felt duty; voluntary compliance intention</x:v>
      </x:c>
      <x:c r="U27" s="43" t="str">
        <x:v>Perception scales; vignette and scenario tasks; social-network informed surveys; experience sampling</x:v>
      </x:c>
      <x:c r="V27" s="43" t="str">
        <x:v>Moderate</x:v>
      </x:c>
      <x:c r="W27" s="43" t="str">
        <x:v>Perceived social conditions are not interchangeable with measured group conditions and can vary by reference group.</x:v>
      </x:c>
      <x:c r="X27" s="43" t="str">
        <x:v>Strong</x:v>
      </x:c>
      <x:c r="Y27" s="43" t="str">
        <x:v>Supported by established theory, validated measures, and converging review, meta-analytic, experimental, or longitudinal evidence. Magnitude and behavioral direction remain conditional on context. Representative records: SRC137; SRC133.</x:v>
      </x:c>
      <x:c r="Z27" s="43" t="str">
        <x:v>Treating perceived norms, trust, or support as direct measures of what the group actually does or provides.</x:v>
      </x:c>
      <x:c r="AA27" s="43" t="str">
        <x:v>SRC137; SRC133</x:v>
      </x:c>
    </x:row>
    <x:row r="28" ht="72" customHeight="1">
      <x:c r="A28" s="43" t="str">
        <x:v>PSY-024</x:v>
      </x:c>
      <x:c r="B28" s="43" t="str">
        <x:v>Perceived Social Exclusion</x:v>
      </x:c>
      <x:c r="C28" s="43" t="str">
        <x:v>Felt exclusion; ostracism perception</x:v>
      </x:c>
      <x:c r="D28" s="43" t="str">
        <x:v>Psychological</x:v>
      </x:c>
      <x:c r="E28" s="43" t="str">
        <x:v>Normative &amp; Relational Perceptions</x:v>
      </x:c>
      <x:c r="F28" s="43" t="str">
        <x:v>The degree to which a person perceives that relevant others are ignoring, rejecting, or excluding them.</x:v>
      </x:c>
      <x:c r="G28" s="43" t="str">
        <x:v>Unipolar continuous</x:v>
      </x:c>
      <x:c r="H28" s="43" t="str">
        <x:v>Low–high exclusion or ostracism intensity</x:v>
      </x:c>
      <x:c r="I28" s="43" t="str">
        <x:v>Higher values = stronger perceived rejection or exclusion.</x:v>
      </x:c>
      <x:c r="J28" s="43" t="str">
        <x:v>Threatens belonging and control, altering affiliation, withdrawal, aggression, or norm sensitivity.</x:v>
      </x:c>
      <x:c r="K28" s="43" t="str">
        <x:v>Observed behavior; social communication; relationship history; group cues; institutional conduct</x:v>
      </x:c>
      <x:c r="L28" s="43" t="str">
        <x:v>Conformity; cooperation; help seeking; compliance; withdrawal; collective action</x:v>
      </x:c>
      <x:c r="M28" s="43" t="str">
        <x:v>Reference-group identification, norm visibility, relationship stakes, power, culture, and perceived enforcement.</x:v>
      </x:c>
      <x:c r="N28" s="43" t="str">
        <x:v>Social Identification Strength; Perceived Legitimacy; Anticipated Social Approval; Perceived Fairness</x:v>
      </x:c>
      <x:c r="O28" s="43" t="str">
        <x:v>High</x:v>
      </x:c>
      <x:c r="P28" s="43" t="str">
        <x:v>Moderate</x:v>
      </x:c>
      <x:c r="Q28" s="43" t="str">
        <x:v>Minutes–Hours</x:v>
      </x:c>
      <x:c r="R28" s="43" t="str">
        <x:v>Seconds–Minutes</x:v>
      </x:c>
      <x:c r="S28" s="43" t="str">
        <x:v>Usually reversible as cues, resources, or interpretations change; repeated appraisal can stabilize.</x:v>
      </x:c>
      <x:c r="T28" s="43" t="str">
        <x:v>Exclusion ratings; rejection cues noticed; affiliation or withdrawal response</x:v>
      </x:c>
      <x:c r="U28" s="43" t="str">
        <x:v>Perception scales; vignette and scenario tasks; social-network informed surveys; experience sampling</x:v>
      </x:c>
      <x:c r="V28" s="43" t="str">
        <x:v>Moderate</x:v>
      </x:c>
      <x:c r="W28" s="43" t="str">
        <x:v>Perceived social conditions are not interchangeable with measured group conditions and can vary by reference group.</x:v>
      </x:c>
      <x:c r="X28" s="43" t="str">
        <x:v>Moderate</x:v>
      </x:c>
      <x:c r="Y28" s="43" t="str">
        <x:v>Scientifically defensible with substantial supporting literature, while causal identification, construct boundaries, measurement, or transferability remain context dependent. Representative records: SRC135; SRC172.</x:v>
      </x:c>
      <x:c r="Z28" s="43" t="str">
        <x:v>Treating perceived norms, trust, or support as direct measures of what the group actually does or provides.</x:v>
      </x:c>
      <x:c r="AA28" s="43" t="str">
        <x:v>SRC135; SRC172</x:v>
      </x:c>
    </x:row>
    <x:row r="29" ht="72" customHeight="1">
      <x:c r="A29" s="43" t="str">
        <x:v>PSY-025</x:v>
      </x:c>
      <x:c r="B29" s="43" t="str">
        <x:v>Perceived Status</x:v>
      </x:c>
      <x:c r="C29" s="43" t="str">
        <x:v>Subjective social rank; perceived standing</x:v>
      </x:c>
      <x:c r="D29" s="43" t="str">
        <x:v>Psychological</x:v>
      </x:c>
      <x:c r="E29" s="43" t="str">
        <x:v>Normative &amp; Relational Perceptions</x:v>
      </x:c>
      <x:c r="F29" s="43" t="str">
        <x:v>The degree of rank, prestige, respect, or influence a person believes they hold in a relevant group or relationship.</x:v>
      </x:c>
      <x:c r="G29" s="43" t="str">
        <x:v>Ordinal</x:v>
      </x:c>
      <x:c r="H29" s="43" t="str">
        <x:v>Low–high rank; ladder or comparative standing</x:v>
      </x:c>
      <x:c r="I29" s="43" t="str">
        <x:v>Higher values = greater perceived social standing or influence.</x:v>
      </x:c>
      <x:c r="J29" s="43" t="str">
        <x:v>Changes deference, entitlement, risk tolerance, voice, and sensitivity to status threat.</x:v>
      </x:c>
      <x:c r="K29" s="43" t="str">
        <x:v>Observed behavior; social communication; relationship history; group cues; institutional conduct</x:v>
      </x:c>
      <x:c r="L29" s="43" t="str">
        <x:v>Conformity; cooperation; help seeking; compliance; withdrawal; collective action</x:v>
      </x:c>
      <x:c r="M29" s="43" t="str">
        <x:v>Reference-group identification, norm visibility, relationship stakes, power, culture, and perceived enforcement.</x:v>
      </x:c>
      <x:c r="N29" s="43" t="str">
        <x:v>Social Identification Strength; Perceived Legitimacy; Anticipated Social Approval; Perceived Fairness</x:v>
      </x:c>
      <x:c r="O29" s="43" t="str">
        <x:v>Moderate</x:v>
      </x:c>
      <x:c r="P29" s="43" t="str">
        <x:v>Moderate</x:v>
      </x:c>
      <x:c r="Q29" s="43" t="str">
        <x:v>Hours–Days</x:v>
      </x:c>
      <x:c r="R29" s="43" t="str">
        <x:v>Minutes–Hours</x:v>
      </x:c>
      <x:c r="S29" s="43" t="str">
        <x:v>Can update quickly after salient evidence but often persists through selective exposure and relationship history.</x:v>
      </x:c>
      <x:c r="T29" s="43" t="str">
        <x:v>Subjective rank; expected deference; status-protective behavior</x:v>
      </x:c>
      <x:c r="U29" s="43" t="str">
        <x:v>Perception scales; vignette and scenario tasks; social-network informed surveys; experience sampling</x:v>
      </x:c>
      <x:c r="V29" s="43" t="str">
        <x:v>Moderate</x:v>
      </x:c>
      <x:c r="W29" s="43" t="str">
        <x:v>Perceived social conditions are not interchangeable with measured group conditions and can vary by reference group.</x:v>
      </x:c>
      <x:c r="X29" s="43" t="str">
        <x:v>Moderate</x:v>
      </x:c>
      <x:c r="Y29" s="43" t="str">
        <x:v>Scientifically defensible with substantial supporting literature, while causal identification, construct boundaries, measurement, or transferability remain context dependent. Representative records: SRC173; SRC109.</x:v>
      </x:c>
      <x:c r="Z29" s="43" t="str">
        <x:v>Treating perceived norms, trust, or support as direct measures of what the group actually does or provides.</x:v>
      </x:c>
      <x:c r="AA29" s="43" t="str">
        <x:v>SRC173; SRC109</x:v>
      </x:c>
    </x:row>
    <x:row r="30" ht="72" customHeight="1">
      <x:c r="A30" s="43" t="str">
        <x:v>PSY-026</x:v>
      </x:c>
      <x:c r="B30" s="43" t="str">
        <x:v>Intention Strength</x:v>
      </x:c>
      <x:c r="C30" s="43" t="str">
        <x:v>Behavioral intention; readiness to act</x:v>
      </x:c>
      <x:c r="D30" s="43" t="str">
        <x:v>Psychological</x:v>
      </x:c>
      <x:c r="E30" s="43" t="str">
        <x:v>Motivation, Goals &amp; Psychological Needs</x:v>
      </x:c>
      <x:c r="F30" s="43" t="str">
        <x:v>The strength of commitment to perform a specified behavior within a stated time and context.</x:v>
      </x:c>
      <x:c r="G30" s="43" t="str">
        <x:v>Unipolar continuous</x:v>
      </x:c>
      <x:c r="H30" s="43" t="str">
        <x:v>Low–high intention; probability or likelihood of acting</x:v>
      </x:c>
      <x:c r="I30" s="43" t="str">
        <x:v>Higher values = stronger intention to perform the behavior.</x:v>
      </x:c>
      <x:c r="J30" s="43" t="str">
        <x:v>Organizes preparatory cognition and increases the probability of action when capability and opportunity permit.</x:v>
      </x:c>
      <x:c r="K30" s="43" t="str">
        <x:v>Values; incentives; autonomy support; need states; feedback; anticipated consequences</x:v>
      </x:c>
      <x:c r="L30" s="43" t="str">
        <x:v>Goal choice; intention; effort; persistence; disengagement; action planning</x:v>
      </x:c>
      <x:c r="M30" s="43" t="str">
        <x:v>Goal conflict, feasibility, autonomy, feedback quality, time horizon, identity relevance, and opportunity.</x:v>
      </x:c>
      <x:c r="N30" s="43" t="str">
        <x:v>Self-Efficacy; Outcome Valuation; Goal Commitment; Action Plan Specificity</x:v>
      </x:c>
      <x:c r="O30" s="43" t="str">
        <x:v>High</x:v>
      </x:c>
      <x:c r="P30" s="43" t="str">
        <x:v>Moderate</x:v>
      </x:c>
      <x:c r="Q30" s="43" t="str">
        <x:v>Minutes–Hours; Days–Weeks</x:v>
      </x:c>
      <x:c r="R30" s="43" t="str">
        <x:v>Minutes–Hours</x:v>
      </x:c>
      <x:c r="S30" s="43" t="str">
        <x:v>Persists while the goal remains valued and feasible; may decay or be revised after feedback.</x:v>
      </x:c>
      <x:c r="T30" s="43" t="str">
        <x:v>Stated likelihood; commitment language; preparation</x:v>
      </x:c>
      <x:c r="U30" s="43" t="str">
        <x:v>Motivation and goal scales; goal elicitation; behavioral persistence tasks; repeated intention assessment</x:v>
      </x:c>
      <x:c r="V30" s="43" t="str">
        <x:v>Moderate</x:v>
      </x:c>
      <x:c r="W30" s="43" t="str">
        <x:v>Motivation is action- and context-specific; stated goals and intentions can overpredict behavior when opportunity or control is weak.</x:v>
      </x:c>
      <x:c r="X30" s="43" t="str">
        <x:v>Strong</x:v>
      </x:c>
      <x:c r="Y30" s="43" t="str">
        <x:v>Supported by established theory, validated measures, and converging review, meta-analytic, experimental, or longitudinal evidence. Magnitude and behavioral direction remain conditional on context. Representative records: SRC110; SRC107; SRC174.</x:v>
      </x:c>
      <x:c r="Z30" s="43" t="str">
        <x:v>Collapsing intrinsic, autonomous, controlled, approach, and avoidance motivation into a single amount of motivation.</x:v>
      </x:c>
      <x:c r="AA30" s="43" t="str">
        <x:v>SRC110; SRC107; SRC174</x:v>
      </x:c>
    </x:row>
    <x:row r="31" ht="72" customHeight="1">
      <x:c r="A31" s="43" t="str">
        <x:v>PSY-027</x:v>
      </x:c>
      <x:c r="B31" s="43" t="str">
        <x:v>Goal Commitment</x:v>
      </x:c>
      <x:c r="C31" s="43" t="str">
        <x:v>Goal attachment; determination</x:v>
      </x:c>
      <x:c r="D31" s="43" t="str">
        <x:v>Psychological</x:v>
      </x:c>
      <x:c r="E31" s="43" t="str">
        <x:v>Motivation, Goals &amp; Psychological Needs</x:v>
      </x:c>
      <x:c r="F31" s="43" t="str">
        <x:v>The degree of attachment to and determination to pursue a specified goal.</x:v>
      </x:c>
      <x:c r="G31" s="43" t="str">
        <x:v>Unipolar continuous</x:v>
      </x:c>
      <x:c r="H31" s="43" t="str">
        <x:v>Low–high commitment scale</x:v>
      </x:c>
      <x:c r="I31" s="43" t="str">
        <x:v>Higher values = stronger commitment to continued goal pursuit.</x:v>
      </x:c>
      <x:c r="J31" s="43" t="str">
        <x:v>Sustains effort and protects the goal against distraction and setbacks.</x:v>
      </x:c>
      <x:c r="K31" s="43" t="str">
        <x:v>Values; incentives; autonomy support; need states; feedback; anticipated consequences</x:v>
      </x:c>
      <x:c r="L31" s="43" t="str">
        <x:v>Goal choice; intention; effort; persistence; disengagement; action planning</x:v>
      </x:c>
      <x:c r="M31" s="43" t="str">
        <x:v>Goal conflict, feasibility, autonomy, feedback quality, time horizon, identity relevance, and opportunity.</x:v>
      </x:c>
      <x:c r="N31" s="43" t="str">
        <x:v>Self-Efficacy; Outcome Valuation; Goal Commitment; Action Plan Specificity</x:v>
      </x:c>
      <x:c r="O31" s="43" t="str">
        <x:v>High</x:v>
      </x:c>
      <x:c r="P31" s="43" t="str">
        <x:v>Moderate</x:v>
      </x:c>
      <x:c r="Q31" s="43" t="str">
        <x:v>Minutes–Hours; Days–Weeks</x:v>
      </x:c>
      <x:c r="R31" s="43" t="str">
        <x:v>Minutes–Hours</x:v>
      </x:c>
      <x:c r="S31" s="43" t="str">
        <x:v>Persists while the goal remains valued and feasible; may decay or be revised after feedback.</x:v>
      </x:c>
      <x:c r="T31" s="43" t="str">
        <x:v>Persistence; goal-protective choices; commitment ratings</x:v>
      </x:c>
      <x:c r="U31" s="43" t="str">
        <x:v>Motivation and goal scales; goal elicitation; behavioral persistence tasks; repeated intention assessment</x:v>
      </x:c>
      <x:c r="V31" s="43" t="str">
        <x:v>Moderate</x:v>
      </x:c>
      <x:c r="W31" s="43" t="str">
        <x:v>Motivation is action- and context-specific; stated goals and intentions can overpredict behavior when opportunity or control is weak.</x:v>
      </x:c>
      <x:c r="X31" s="43" t="str">
        <x:v>Strong</x:v>
      </x:c>
      <x:c r="Y31" s="43" t="str">
        <x:v>Supported by established theory, validated measures, and converging review, meta-analytic, experimental, or longitudinal evidence. Magnitude and behavioral direction remain conditional on context. Representative records: SRC118; SRC139.</x:v>
      </x:c>
      <x:c r="Z31" s="43" t="str">
        <x:v>Collapsing intrinsic, autonomous, controlled, approach, and avoidance motivation into a single amount of motivation.</x:v>
      </x:c>
      <x:c r="AA31" s="43" t="str">
        <x:v>SRC118; SRC139</x:v>
      </x:c>
    </x:row>
    <x:row r="32" ht="72" customHeight="1">
      <x:c r="A32" s="43" t="str">
        <x:v>PSY-028</x:v>
      </x:c>
      <x:c r="B32" s="43" t="str">
        <x:v>Goal Specificity</x:v>
      </x:c>
      <x:c r="C32" s="43" t="str">
        <x:v>Goal clarity; goal precision</x:v>
      </x:c>
      <x:c r="D32" s="43" t="str">
        <x:v>Psychological</x:v>
      </x:c>
      <x:c r="E32" s="43" t="str">
        <x:v>Motivation, Goals &amp; Psychological Needs</x:v>
      </x:c>
      <x:c r="F32" s="43" t="str">
        <x:v>The degree to which a goal defines a clear target, criterion, or endpoint.</x:v>
      </x:c>
      <x:c r="G32" s="43" t="str">
        <x:v>Unipolar continuous</x:v>
      </x:c>
      <x:c r="H32" s="43" t="str">
        <x:v>Vague–specific; coded goal precision</x:v>
      </x:c>
      <x:c r="I32" s="43" t="str">
        <x:v>Higher values = more clearly specified target and criterion.</x:v>
      </x:c>
      <x:c r="J32" s="43" t="str">
        <x:v>Reduces ambiguity and improves attention, planning, feedback interpretation, and effort direction.</x:v>
      </x:c>
      <x:c r="K32" s="43" t="str">
        <x:v>Values; incentives; autonomy support; need states; feedback; anticipated consequences</x:v>
      </x:c>
      <x:c r="L32" s="43" t="str">
        <x:v>Goal choice; intention; effort; persistence; disengagement; action planning</x:v>
      </x:c>
      <x:c r="M32" s="43" t="str">
        <x:v>Goal conflict, feasibility, autonomy, feedback quality, time horizon, identity relevance, and opportunity.</x:v>
      </x:c>
      <x:c r="N32" s="43" t="str">
        <x:v>Self-Efficacy; Outcome Valuation; Goal Commitment; Action Plan Specificity</x:v>
      </x:c>
      <x:c r="O32" s="43" t="str">
        <x:v>High</x:v>
      </x:c>
      <x:c r="P32" s="43" t="str">
        <x:v>Moderate</x:v>
      </x:c>
      <x:c r="Q32" s="43" t="str">
        <x:v>Minutes–Hours; Days–Weeks</x:v>
      </x:c>
      <x:c r="R32" s="43" t="str">
        <x:v>Minutes–Hours</x:v>
      </x:c>
      <x:c r="S32" s="43" t="str">
        <x:v>Persists while the goal remains valued and feasible; may decay or be revised after feedback.</x:v>
      </x:c>
      <x:c r="T32" s="43" t="str">
        <x:v>Quantified target; unambiguous endpoint; agreement in goal coding</x:v>
      </x:c>
      <x:c r="U32" s="43" t="str">
        <x:v>Motivation and goal scales; goal elicitation; behavioral persistence tasks; repeated intention assessment</x:v>
      </x:c>
      <x:c r="V32" s="43" t="str">
        <x:v>Moderate</x:v>
      </x:c>
      <x:c r="W32" s="43" t="str">
        <x:v>Motivation is action- and context-specific; stated goals and intentions can overpredict behavior when opportunity or control is weak.</x:v>
      </x:c>
      <x:c r="X32" s="43" t="str">
        <x:v>Strong</x:v>
      </x:c>
      <x:c r="Y32" s="43" t="str">
        <x:v>Supported by established theory, validated measures, and converging review, meta-analytic, experimental, or longitudinal evidence. Magnitude and behavioral direction remain conditional on context. Representative records: SRC118; SRC139.</x:v>
      </x:c>
      <x:c r="Z32" s="43" t="str">
        <x:v>Collapsing intrinsic, autonomous, controlled, approach, and avoidance motivation into a single amount of motivation.</x:v>
      </x:c>
      <x:c r="AA32" s="43" t="str">
        <x:v>SRC118; SRC139</x:v>
      </x:c>
    </x:row>
    <x:row r="33" ht="72" customHeight="1">
      <x:c r="A33" s="43" t="str">
        <x:v>PSY-029</x:v>
      </x:c>
      <x:c r="B33" s="43" t="str">
        <x:v>Goal Difficulty</x:v>
      </x:c>
      <x:c r="C33" s="43" t="str">
        <x:v>Goal challenge; target difficulty</x:v>
      </x:c>
      <x:c r="D33" s="43" t="str">
        <x:v>Psychological</x:v>
      </x:c>
      <x:c r="E33" s="43" t="str">
        <x:v>Motivation, Goals &amp; Psychological Needs</x:v>
      </x:c>
      <x:c r="F33" s="43" t="str">
        <x:v>The perceived level of effort, skill, or performance required to attain a specified goal.</x:v>
      </x:c>
      <x:c r="G33" s="43" t="str">
        <x:v>Magnitude / level</x:v>
      </x:c>
      <x:c r="H33" s="43" t="str">
        <x:v>Very easy–very difficult; target-performance gap</x:v>
      </x:c>
      <x:c r="I33" s="43" t="str">
        <x:v>Higher values = greater perceived challenge.</x:v>
      </x:c>
      <x:c r="J33" s="43" t="str">
        <x:v>Can mobilize effort when commitment and capability are adequate but induce disengagement when infeasible.</x:v>
      </x:c>
      <x:c r="K33" s="43" t="str">
        <x:v>Values; incentives; autonomy support; need states; feedback; anticipated consequences</x:v>
      </x:c>
      <x:c r="L33" s="43" t="str">
        <x:v>Goal choice; intention; effort; persistence; disengagement; action planning</x:v>
      </x:c>
      <x:c r="M33" s="43" t="str">
        <x:v>Goal conflict, feasibility, autonomy, feedback quality, time horizon, identity relevance, and opportunity.</x:v>
      </x:c>
      <x:c r="N33" s="43" t="str">
        <x:v>Self-Efficacy; Outcome Valuation; Goal Commitment; Action Plan Specificity</x:v>
      </x:c>
      <x:c r="O33" s="43" t="str">
        <x:v>High</x:v>
      </x:c>
      <x:c r="P33" s="43" t="str">
        <x:v>Moderate</x:v>
      </x:c>
      <x:c r="Q33" s="43" t="str">
        <x:v>Minutes–Hours</x:v>
      </x:c>
      <x:c r="R33" s="43" t="str">
        <x:v>Seconds–Minutes</x:v>
      </x:c>
      <x:c r="S33" s="43" t="str">
        <x:v>Usually reversible as cues, resources, or interpretations change; repeated appraisal can stabilize.</x:v>
      </x:c>
      <x:c r="T33" s="43" t="str">
        <x:v>Difficulty rating; target gap; effort mobilization</x:v>
      </x:c>
      <x:c r="U33" s="43" t="str">
        <x:v>Motivation and goal scales; goal elicitation; behavioral persistence tasks; repeated intention assessment</x:v>
      </x:c>
      <x:c r="V33" s="43" t="str">
        <x:v>Moderate</x:v>
      </x:c>
      <x:c r="W33" s="43" t="str">
        <x:v>Motivation is action- and context-specific; stated goals and intentions can overpredict behavior when opportunity or control is weak.</x:v>
      </x:c>
      <x:c r="X33" s="43" t="str">
        <x:v>Strong</x:v>
      </x:c>
      <x:c r="Y33" s="43" t="str">
        <x:v>Supported by established theory, validated measures, and converging review, meta-analytic, experimental, or longitudinal evidence. Magnitude and behavioral direction remain conditional on context. Representative records: SRC118; SRC111.</x:v>
      </x:c>
      <x:c r="Z33" s="43" t="str">
        <x:v>Collapsing intrinsic, autonomous, controlled, approach, and avoidance motivation into a single amount of motivation.</x:v>
      </x:c>
      <x:c r="AA33" s="43" t="str">
        <x:v>SRC118; SRC111</x:v>
      </x:c>
    </x:row>
    <x:row r="34" ht="72" customHeight="1">
      <x:c r="A34" s="43" t="str">
        <x:v>PSY-030</x:v>
      </x:c>
      <x:c r="B34" s="43" t="str">
        <x:v>Goal Conflict</x:v>
      </x:c>
      <x:c r="C34" s="43" t="str">
        <x:v>Competing-goal conflict; incompatible goals</x:v>
      </x:c>
      <x:c r="D34" s="43" t="str">
        <x:v>Psychological</x:v>
      </x:c>
      <x:c r="E34" s="43" t="str">
        <x:v>Motivation, Goals &amp; Psychological Needs</x:v>
      </x:c>
      <x:c r="F34" s="43" t="str">
        <x:v>The degree to which pursuing one active goal interferes with or prevents progress toward another.</x:v>
      </x:c>
      <x:c r="G34" s="43" t="str">
        <x:v>Magnitude / level</x:v>
      </x:c>
      <x:c r="H34" s="43" t="str">
        <x:v>No conflict–severe conflict; pairwise conflict matrix</x:v>
      </x:c>
      <x:c r="I34" s="43" t="str">
        <x:v>Higher values = greater incompatibility among active goals.</x:v>
      </x:c>
      <x:c r="J34" s="43" t="str">
        <x:v>Divides resources, increases decision conflict, and can delay, switch, or abandon action.</x:v>
      </x:c>
      <x:c r="K34" s="43" t="str">
        <x:v>Values; incentives; autonomy support; need states; feedback; anticipated consequences</x:v>
      </x:c>
      <x:c r="L34" s="43" t="str">
        <x:v>Goal choice; intention; effort; persistence; disengagement; action planning</x:v>
      </x:c>
      <x:c r="M34" s="43" t="str">
        <x:v>Goal conflict, feasibility, autonomy, feedback quality, time horizon, identity relevance, and opportunity.</x:v>
      </x:c>
      <x:c r="N34" s="43" t="str">
        <x:v>Self-Efficacy; Outcome Valuation; Goal Commitment; Action Plan Specificity</x:v>
      </x:c>
      <x:c r="O34" s="43" t="str">
        <x:v>High</x:v>
      </x:c>
      <x:c r="P34" s="43" t="str">
        <x:v>Moderate</x:v>
      </x:c>
      <x:c r="Q34" s="43" t="str">
        <x:v>Minutes–Hours; Days–Weeks</x:v>
      </x:c>
      <x:c r="R34" s="43" t="str">
        <x:v>Minutes–Hours</x:v>
      </x:c>
      <x:c r="S34" s="43" t="str">
        <x:v>Persists while the goal remains valued and feasible; may decay or be revised after feedback.</x:v>
      </x:c>
      <x:c r="T34" s="43" t="str">
        <x:v>Competing commitments; switching; delay; perceived incompatibility</x:v>
      </x:c>
      <x:c r="U34" s="43" t="str">
        <x:v>Motivation and goal scales; goal elicitation; behavioral persistence tasks; repeated intention assessment</x:v>
      </x:c>
      <x:c r="V34" s="43" t="str">
        <x:v>Moderate</x:v>
      </x:c>
      <x:c r="W34" s="43" t="str">
        <x:v>Motivation is action- and context-specific; stated goals and intentions can overpredict behavior when opportunity or control is weak.</x:v>
      </x:c>
      <x:c r="X34" s="43" t="str">
        <x:v>Moderate</x:v>
      </x:c>
      <x:c r="Y34" s="43" t="str">
        <x:v>Scientifically defensible with substantial supporting literature, while causal identification, construct boundaries, measurement, or transferability remain context dependent. Representative records: SRC118; SRC109.</x:v>
      </x:c>
      <x:c r="Z34" s="43" t="str">
        <x:v>Collapsing intrinsic, autonomous, controlled, approach, and avoidance motivation into a single amount of motivation.</x:v>
      </x:c>
      <x:c r="AA34" s="43" t="str">
        <x:v>SRC118; SRC109</x:v>
      </x:c>
    </x:row>
    <x:row r="35" ht="72" customHeight="1">
      <x:c r="A35" s="43" t="str">
        <x:v>PSY-031</x:v>
      </x:c>
      <x:c r="B35" s="43" t="str">
        <x:v>Goal Priority</x:v>
      </x:c>
      <x:c r="C35" s="43" t="str">
        <x:v>Goal importance rank; priority weight</x:v>
      </x:c>
      <x:c r="D35" s="43" t="str">
        <x:v>Psychological</x:v>
      </x:c>
      <x:c r="E35" s="43" t="str">
        <x:v>Motivation, Goals &amp; Psychological Needs</x:v>
      </x:c>
      <x:c r="F35" s="43" t="str">
        <x:v>The relative importance assigned to a specified goal compared with other active goals.</x:v>
      </x:c>
      <x:c r="G35" s="43" t="str">
        <x:v>Ordinal</x:v>
      </x:c>
      <x:c r="H35" s="43" t="str">
        <x:v>Rank order; normalized importance weight; low–high priority</x:v>
      </x:c>
      <x:c r="I35" s="43" t="str">
        <x:v>Higher values = greater priority relative to competing goals.</x:v>
      </x:c>
      <x:c r="J35" s="43" t="str">
        <x:v>Directs attention and resources toward the goal when conflicts arise.</x:v>
      </x:c>
      <x:c r="K35" s="43" t="str">
        <x:v>Values; incentives; autonomy support; need states; feedback; anticipated consequences</x:v>
      </x:c>
      <x:c r="L35" s="43" t="str">
        <x:v>Goal choice; intention; effort; persistence; disengagement; action planning</x:v>
      </x:c>
      <x:c r="M35" s="43" t="str">
        <x:v>Goal conflict, feasibility, autonomy, feedback quality, time horizon, identity relevance, and opportunity.</x:v>
      </x:c>
      <x:c r="N35" s="43" t="str">
        <x:v>Self-Efficacy; Outcome Valuation; Goal Commitment; Action Plan Specificity</x:v>
      </x:c>
      <x:c r="O35" s="43" t="str">
        <x:v>High</x:v>
      </x:c>
      <x:c r="P35" s="43" t="str">
        <x:v>Moderate</x:v>
      </x:c>
      <x:c r="Q35" s="43" t="str">
        <x:v>Minutes–Hours; Days–Weeks</x:v>
      </x:c>
      <x:c r="R35" s="43" t="str">
        <x:v>Minutes–Hours</x:v>
      </x:c>
      <x:c r="S35" s="43" t="str">
        <x:v>Persists while the goal remains valued and feasible; may decay or be revised after feedback.</x:v>
      </x:c>
      <x:c r="T35" s="43" t="str">
        <x:v>Ranked goals; time allocation; sacrifice for goal</x:v>
      </x:c>
      <x:c r="U35" s="43" t="str">
        <x:v>Motivation and goal scales; goal elicitation; behavioral persistence tasks; repeated intention assessment</x:v>
      </x:c>
      <x:c r="V35" s="43" t="str">
        <x:v>Moderate</x:v>
      </x:c>
      <x:c r="W35" s="43" t="str">
        <x:v>Motivation is action- and context-specific; stated goals and intentions can overpredict behavior when opportunity or control is weak.</x:v>
      </x:c>
      <x:c r="X35" s="43" t="str">
        <x:v>Moderate</x:v>
      </x:c>
      <x:c r="Y35" s="43" t="str">
        <x:v>Scientifically defensible with substantial supporting literature, while causal identification, construct boundaries, measurement, or transferability remain context dependent. Representative records: SRC118; SRC139.</x:v>
      </x:c>
      <x:c r="Z35" s="43" t="str">
        <x:v>Collapsing intrinsic, autonomous, controlled, approach, and avoidance motivation into a single amount of motivation.</x:v>
      </x:c>
      <x:c r="AA35" s="43" t="str">
        <x:v>SRC118; SRC139</x:v>
      </x:c>
    </x:row>
    <x:row r="36" ht="72" customHeight="1">
      <x:c r="A36" s="43" t="str">
        <x:v>PSY-032</x:v>
      </x:c>
      <x:c r="B36" s="43" t="str">
        <x:v>Intrinsic Motivation</x:v>
      </x:c>
      <x:c r="C36" s="43" t="str">
        <x:v>Intrinsic regulation; inherent enjoyment motivation</x:v>
      </x:c>
      <x:c r="D36" s="43" t="str">
        <x:v>Psychological</x:v>
      </x:c>
      <x:c r="E36" s="43" t="str">
        <x:v>Motivation, Goals &amp; Psychological Needs</x:v>
      </x:c>
      <x:c r="F36" s="43" t="str">
        <x:v>The degree to which an activity is pursued for inherent interest, enjoyment, or satisfaction.</x:v>
      </x:c>
      <x:c r="G36" s="43" t="str">
        <x:v>Unipolar continuous</x:v>
      </x:c>
      <x:c r="H36" s="43" t="str">
        <x:v>Low–high intrinsic motivation subscale</x:v>
      </x:c>
      <x:c r="I36" s="43" t="str">
        <x:v>Higher values = more activity engagement for inherent interest or enjoyment.</x:v>
      </x:c>
      <x:c r="J36" s="43" t="str">
        <x:v>Supports sustained engagement by making activity performance itself rewarding.</x:v>
      </x:c>
      <x:c r="K36" s="43" t="str">
        <x:v>Values; incentives; autonomy support; need states; feedback; anticipated consequences</x:v>
      </x:c>
      <x:c r="L36" s="43" t="str">
        <x:v>Goal choice; intention; effort; persistence; disengagement; action planning</x:v>
      </x:c>
      <x:c r="M36" s="43" t="str">
        <x:v>Goal conflict, feasibility, autonomy, feedback quality, time horizon, identity relevance, and opportunity.</x:v>
      </x:c>
      <x:c r="N36" s="43" t="str">
        <x:v>Self-Efficacy; Outcome Valuation; Goal Commitment; Action Plan Specificity</x:v>
      </x:c>
      <x:c r="O36" s="43" t="str">
        <x:v>High</x:v>
      </x:c>
      <x:c r="P36" s="43" t="str">
        <x:v>Moderate</x:v>
      </x:c>
      <x:c r="Q36" s="43" t="str">
        <x:v>Minutes–Hours; Days–Weeks</x:v>
      </x:c>
      <x:c r="R36" s="43" t="str">
        <x:v>Minutes–Hours</x:v>
      </x:c>
      <x:c r="S36" s="43" t="str">
        <x:v>Persists while the goal remains valued and feasible; may decay or be revised after feedback.</x:v>
      </x:c>
      <x:c r="T36" s="43" t="str">
        <x:v>Voluntary engagement; enjoyment; persistence without external reward</x:v>
      </x:c>
      <x:c r="U36" s="43" t="str">
        <x:v>Motivation and goal scales; goal elicitation; behavioral persistence tasks; repeated intention assessment</x:v>
      </x:c>
      <x:c r="V36" s="43" t="str">
        <x:v>Moderate</x:v>
      </x:c>
      <x:c r="W36" s="43" t="str">
        <x:v>Motivation is action- and context-specific; stated goals and intentions can overpredict behavior when opportunity or control is weak.</x:v>
      </x:c>
      <x:c r="X36" s="43" t="str">
        <x:v>Strong</x:v>
      </x:c>
      <x:c r="Y36" s="43" t="str">
        <x:v>Supported by established theory, validated measures, and converging review, meta-analytic, experimental, or longitudinal evidence. Magnitude and behavioral direction remain conditional on context. Representative records: SRC108; SRC138.</x:v>
      </x:c>
      <x:c r="Z36" s="43" t="str">
        <x:v>Collapsing intrinsic, autonomous, controlled, approach, and avoidance motivation into a single amount of motivation.</x:v>
      </x:c>
      <x:c r="AA36" s="43" t="str">
        <x:v>SRC108; SRC138</x:v>
      </x:c>
    </x:row>
    <x:row r="37" ht="72" customHeight="1">
      <x:c r="A37" s="43" t="str">
        <x:v>PSY-033</x:v>
      </x:c>
      <x:c r="B37" s="43" t="str">
        <x:v>Autonomous Motivation</x:v>
      </x:c>
      <x:c r="C37" s="43" t="str">
        <x:v>Self-endorsed motivation; identified or integrated regulation</x:v>
      </x:c>
      <x:c r="D37" s="43" t="str">
        <x:v>Psychological</x:v>
      </x:c>
      <x:c r="E37" s="43" t="str">
        <x:v>Motivation, Goals &amp; Psychological Needs</x:v>
      </x:c>
      <x:c r="F37" s="43" t="str">
        <x:v>The degree to which action is experienced as self-endorsed and congruent with personally accepted values or goals.</x:v>
      </x:c>
      <x:c r="G37" s="43" t="str">
        <x:v>Unipolar continuous</x:v>
      </x:c>
      <x:c r="H37" s="43" t="str">
        <x:v>Low–high autonomous regulation composite</x:v>
      </x:c>
      <x:c r="I37" s="43" t="str">
        <x:v>Higher values = greater self-endorsement of the reason for action.</x:v>
      </x:c>
      <x:c r="J37" s="43" t="str">
        <x:v>Supports internalization, persistence, and flexible engagement by aligning action with chosen values.</x:v>
      </x:c>
      <x:c r="K37" s="43" t="str">
        <x:v>Values; incentives; autonomy support; need states; feedback; anticipated consequences</x:v>
      </x:c>
      <x:c r="L37" s="43" t="str">
        <x:v>Goal choice; intention; effort; persistence; disengagement; action planning</x:v>
      </x:c>
      <x:c r="M37" s="43" t="str">
        <x:v>Goal conflict, feasibility, autonomy, feedback quality, time horizon, identity relevance, and opportunity.</x:v>
      </x:c>
      <x:c r="N37" s="43" t="str">
        <x:v>Self-Efficacy; Outcome Valuation; Goal Commitment; Action Plan Specificity</x:v>
      </x:c>
      <x:c r="O37" s="43" t="str">
        <x:v>High</x:v>
      </x:c>
      <x:c r="P37" s="43" t="str">
        <x:v>Moderate</x:v>
      </x:c>
      <x:c r="Q37" s="43" t="str">
        <x:v>Minutes–Hours; Days–Weeks</x:v>
      </x:c>
      <x:c r="R37" s="43" t="str">
        <x:v>Minutes–Hours</x:v>
      </x:c>
      <x:c r="S37" s="43" t="str">
        <x:v>Persists while the goal remains valued and feasible; may decay or be revised after feedback.</x:v>
      </x:c>
      <x:c r="T37" s="43" t="str">
        <x:v>Perceived choice; identified reasons; persistence</x:v>
      </x:c>
      <x:c r="U37" s="43" t="str">
        <x:v>Motivation and goal scales; goal elicitation; behavioral persistence tasks; repeated intention assessment</x:v>
      </x:c>
      <x:c r="V37" s="43" t="str">
        <x:v>Moderate</x:v>
      </x:c>
      <x:c r="W37" s="43" t="str">
        <x:v>Motivation is action- and context-specific; stated goals and intentions can overpredict behavior when opportunity or control is weak.</x:v>
      </x:c>
      <x:c r="X37" s="43" t="str">
        <x:v>Strong</x:v>
      </x:c>
      <x:c r="Y37" s="43" t="str">
        <x:v>Supported by established theory, validated measures, and converging review, meta-analytic, experimental, or longitudinal evidence. Magnitude and behavioral direction remain conditional on context. Representative records: SRC108; SRC138.</x:v>
      </x:c>
      <x:c r="Z37" s="43" t="str">
        <x:v>Collapsing intrinsic, autonomous, controlled, approach, and avoidance motivation into a single amount of motivation.</x:v>
      </x:c>
      <x:c r="AA37" s="43" t="str">
        <x:v>SRC108; SRC138</x:v>
      </x:c>
    </x:row>
    <x:row r="38" ht="72" customHeight="1">
      <x:c r="A38" s="43" t="str">
        <x:v>PSY-034</x:v>
      </x:c>
      <x:c r="B38" s="43" t="str">
        <x:v>Controlled Motivation</x:v>
      </x:c>
      <x:c r="C38" s="43" t="str">
        <x:v>External or introjected regulation; pressured motivation</x:v>
      </x:c>
      <x:c r="D38" s="43" t="str">
        <x:v>Psychological</x:v>
      </x:c>
      <x:c r="E38" s="43" t="str">
        <x:v>Motivation, Goals &amp; Psychological Needs</x:v>
      </x:c>
      <x:c r="F38" s="43" t="str">
        <x:v>The degree to which action is driven by external demands, rewards, punishments, or internal pressure such as guilt or contingent self-worth.</x:v>
      </x:c>
      <x:c r="G38" s="43" t="str">
        <x:v>Unipolar continuous</x:v>
      </x:c>
      <x:c r="H38" s="43" t="str">
        <x:v>Low–high controlled regulation composite</x:v>
      </x:c>
      <x:c r="I38" s="43" t="str">
        <x:v>Higher values = greater experienced pressure or contingent motivation.</x:v>
      </x:c>
      <x:c r="J38" s="43" t="str">
        <x:v>Can initiate behavior through pressure while reducing persistence or well-being when control is removed.</x:v>
      </x:c>
      <x:c r="K38" s="43" t="str">
        <x:v>Values; incentives; autonomy support; need states; feedback; anticipated consequences</x:v>
      </x:c>
      <x:c r="L38" s="43" t="str">
        <x:v>Goal choice; intention; effort; persistence; disengagement; action planning</x:v>
      </x:c>
      <x:c r="M38" s="43" t="str">
        <x:v>Goal conflict, feasibility, autonomy, feedback quality, time horizon, identity relevance, and opportunity.</x:v>
      </x:c>
      <x:c r="N38" s="43" t="str">
        <x:v>Self-Efficacy; Outcome Valuation; Goal Commitment; Action Plan Specificity</x:v>
      </x:c>
      <x:c r="O38" s="43" t="str">
        <x:v>High</x:v>
      </x:c>
      <x:c r="P38" s="43" t="str">
        <x:v>Moderate</x:v>
      </x:c>
      <x:c r="Q38" s="43" t="str">
        <x:v>Minutes–Hours; Days–Weeks</x:v>
      </x:c>
      <x:c r="R38" s="43" t="str">
        <x:v>Minutes–Hours</x:v>
      </x:c>
      <x:c r="S38" s="43" t="str">
        <x:v>Persists while the goal remains valued and feasible; may decay or be revised after feedback.</x:v>
      </x:c>
      <x:c r="T38" s="43" t="str">
        <x:v>Compliance under monitoring; pressure ratings; guilt-based reasons</x:v>
      </x:c>
      <x:c r="U38" s="43" t="str">
        <x:v>Motivation and goal scales; goal elicitation; behavioral persistence tasks; repeated intention assessment</x:v>
      </x:c>
      <x:c r="V38" s="43" t="str">
        <x:v>Moderate</x:v>
      </x:c>
      <x:c r="W38" s="43" t="str">
        <x:v>Motivation is action- and context-specific; stated goals and intentions can overpredict behavior when opportunity or control is weak.</x:v>
      </x:c>
      <x:c r="X38" s="43" t="str">
        <x:v>Strong</x:v>
      </x:c>
      <x:c r="Y38" s="43" t="str">
        <x:v>Supported by established theory, validated measures, and converging review, meta-analytic, experimental, or longitudinal evidence. Magnitude and behavioral direction remain conditional on context. Representative records: SRC108; SRC138.</x:v>
      </x:c>
      <x:c r="Z38" s="43" t="str">
        <x:v>Collapsing intrinsic, autonomous, controlled, approach, and avoidance motivation into a single amount of motivation.</x:v>
      </x:c>
      <x:c r="AA38" s="43" t="str">
        <x:v>SRC108; SRC138</x:v>
      </x:c>
    </x:row>
    <x:row r="39" ht="72" customHeight="1">
      <x:c r="A39" s="43" t="str">
        <x:v>PSY-035</x:v>
      </x:c>
      <x:c r="B39" s="43" t="str">
        <x:v>Autonomy Need Satisfaction</x:v>
      </x:c>
      <x:c r="C39" s="43" t="str">
        <x:v>Experienced autonomy; volitional need satisfaction</x:v>
      </x:c>
      <x:c r="D39" s="43" t="str">
        <x:v>Psychological</x:v>
      </x:c>
      <x:c r="E39" s="43" t="str">
        <x:v>Motivation, Goals &amp; Psychological Needs</x:v>
      </x:c>
      <x:c r="F39" s="43" t="str">
        <x:v>The degree to which a person experiences choice, volition, and self-endorsement in a relevant context.</x:v>
      </x:c>
      <x:c r="G39" s="43" t="str">
        <x:v>Unipolar continuous</x:v>
      </x:c>
      <x:c r="H39" s="43" t="str">
        <x:v>Low–high need-satisfaction scale</x:v>
      </x:c>
      <x:c r="I39" s="43" t="str">
        <x:v>Higher values = greater experienced volition and choice.</x:v>
      </x:c>
      <x:c r="J39" s="43" t="str">
        <x:v>Supports internalization and self-directed regulation by reducing experienced coercion.</x:v>
      </x:c>
      <x:c r="K39" s="43" t="str">
        <x:v>Values; incentives; autonomy support; need states; feedback; anticipated consequences</x:v>
      </x:c>
      <x:c r="L39" s="43" t="str">
        <x:v>Goal choice; intention; effort; persistence; disengagement; action planning</x:v>
      </x:c>
      <x:c r="M39" s="43" t="str">
        <x:v>Goal conflict, feasibility, autonomy, feedback quality, time horizon, identity relevance, and opportunity.</x:v>
      </x:c>
      <x:c r="N39" s="43" t="str">
        <x:v>Self-Efficacy; Outcome Valuation; Goal Commitment; Action Plan Specificity</x:v>
      </x:c>
      <x:c r="O39" s="43" t="str">
        <x:v>High</x:v>
      </x:c>
      <x:c r="P39" s="43" t="str">
        <x:v>Moderate</x:v>
      </x:c>
      <x:c r="Q39" s="43" t="str">
        <x:v>Minutes–Hours</x:v>
      </x:c>
      <x:c r="R39" s="43" t="str">
        <x:v>Seconds–Minutes</x:v>
      </x:c>
      <x:c r="S39" s="43" t="str">
        <x:v>Usually reversible as cues, resources, or interpretations change; repeated appraisal can stabilize.</x:v>
      </x:c>
      <x:c r="T39" s="43" t="str">
        <x:v>Choice and volition ratings; self-endorsed reasons</x:v>
      </x:c>
      <x:c r="U39" s="43" t="str">
        <x:v>Motivation and goal scales; goal elicitation; behavioral persistence tasks; repeated intention assessment</x:v>
      </x:c>
      <x:c r="V39" s="43" t="str">
        <x:v>Moderate</x:v>
      </x:c>
      <x:c r="W39" s="43" t="str">
        <x:v>Motivation is action- and context-specific; stated goals and intentions can overpredict behavior when opportunity or control is weak.</x:v>
      </x:c>
      <x:c r="X39" s="43" t="str">
        <x:v>Strong</x:v>
      </x:c>
      <x:c r="Y39" s="43" t="str">
        <x:v>Supported by established theory, validated measures, and converging review, meta-analytic, experimental, or longitudinal evidence. Magnitude and behavioral direction remain conditional on context. Representative records: SRC108; SRC138.</x:v>
      </x:c>
      <x:c r="Z39" s="43" t="str">
        <x:v>Collapsing intrinsic, autonomous, controlled, approach, and avoidance motivation into a single amount of motivation.</x:v>
      </x:c>
      <x:c r="AA39" s="43" t="str">
        <x:v>SRC108; SRC138</x:v>
      </x:c>
    </x:row>
    <x:row r="40" ht="72" customHeight="1">
      <x:c r="A40" s="43" t="str">
        <x:v>PSY-036</x:v>
      </x:c>
      <x:c r="B40" s="43" t="str">
        <x:v>Competence Need Satisfaction</x:v>
      </x:c>
      <x:c r="C40" s="43" t="str">
        <x:v>Experienced competence; mastery need satisfaction</x:v>
      </x:c>
      <x:c r="D40" s="43" t="str">
        <x:v>Psychological</x:v>
      </x:c>
      <x:c r="E40" s="43" t="str">
        <x:v>Motivation, Goals &amp; Psychological Needs</x:v>
      </x:c>
      <x:c r="F40" s="43" t="str">
        <x:v>The degree to which a person feels effective and capable of achieving valued outcomes in a relevant context.</x:v>
      </x:c>
      <x:c r="G40" s="43" t="str">
        <x:v>Unipolar continuous</x:v>
      </x:c>
      <x:c r="H40" s="43" t="str">
        <x:v>Low–high competence-satisfaction scale</x:v>
      </x:c>
      <x:c r="I40" s="43" t="str">
        <x:v>Higher values = greater experienced effectiveness and mastery.</x:v>
      </x:c>
      <x:c r="J40" s="43" t="str">
        <x:v>Supports engagement and persistence by making effective action feel attainable and reinforcing.</x:v>
      </x:c>
      <x:c r="K40" s="43" t="str">
        <x:v>Values; incentives; autonomy support; need states; feedback; anticipated consequences</x:v>
      </x:c>
      <x:c r="L40" s="43" t="str">
        <x:v>Goal choice; intention; effort; persistence; disengagement; action planning</x:v>
      </x:c>
      <x:c r="M40" s="43" t="str">
        <x:v>Goal conflict, feasibility, autonomy, feedback quality, time horizon, identity relevance, and opportunity.</x:v>
      </x:c>
      <x:c r="N40" s="43" t="str">
        <x:v>Self-Efficacy; Outcome Valuation; Goal Commitment; Action Plan Specificity</x:v>
      </x:c>
      <x:c r="O40" s="43" t="str">
        <x:v>High</x:v>
      </x:c>
      <x:c r="P40" s="43" t="str">
        <x:v>Moderate</x:v>
      </x:c>
      <x:c r="Q40" s="43" t="str">
        <x:v>Minutes–Hours</x:v>
      </x:c>
      <x:c r="R40" s="43" t="str">
        <x:v>Seconds–Minutes</x:v>
      </x:c>
      <x:c r="S40" s="43" t="str">
        <x:v>Usually reversible as cues, resources, or interpretations change; repeated appraisal can stabilize.</x:v>
      </x:c>
      <x:c r="T40" s="43" t="str">
        <x:v>Mastery ratings; challenge engagement; persistence</x:v>
      </x:c>
      <x:c r="U40" s="43" t="str">
        <x:v>Motivation and goal scales; goal elicitation; behavioral persistence tasks; repeated intention assessment</x:v>
      </x:c>
      <x:c r="V40" s="43" t="str">
        <x:v>Moderate</x:v>
      </x:c>
      <x:c r="W40" s="43" t="str">
        <x:v>Motivation is action- and context-specific; stated goals and intentions can overpredict behavior when opportunity or control is weak.</x:v>
      </x:c>
      <x:c r="X40" s="43" t="str">
        <x:v>Strong</x:v>
      </x:c>
      <x:c r="Y40" s="43" t="str">
        <x:v>Supported by established theory, validated measures, and converging review, meta-analytic, experimental, or longitudinal evidence. Magnitude and behavioral direction remain conditional on context. Representative records: SRC108; SRC138.</x:v>
      </x:c>
      <x:c r="Z40" s="43" t="str">
        <x:v>Collapsing intrinsic, autonomous, controlled, approach, and avoidance motivation into a single amount of motivation.</x:v>
      </x:c>
      <x:c r="AA40" s="43" t="str">
        <x:v>SRC108; SRC138</x:v>
      </x:c>
    </x:row>
    <x:row r="41" ht="72" customHeight="1">
      <x:c r="A41" s="43" t="str">
        <x:v>PSY-037</x:v>
      </x:c>
      <x:c r="B41" s="43" t="str">
        <x:v>Relatedness Need Satisfaction</x:v>
      </x:c>
      <x:c r="C41" s="43" t="str">
        <x:v>Experienced relatedness; connection need satisfaction</x:v>
      </x:c>
      <x:c r="D41" s="43" t="str">
        <x:v>Psychological</x:v>
      </x:c>
      <x:c r="E41" s="43" t="str">
        <x:v>Motivation, Goals &amp; Psychological Needs</x:v>
      </x:c>
      <x:c r="F41" s="43" t="str">
        <x:v>The degree to which a person feels cared for, connected to, and significant to relevant others.</x:v>
      </x:c>
      <x:c r="G41" s="43" t="str">
        <x:v>Unipolar continuous</x:v>
      </x:c>
      <x:c r="H41" s="43" t="str">
        <x:v>Low–high relatedness-satisfaction scale</x:v>
      </x:c>
      <x:c r="I41" s="43" t="str">
        <x:v>Higher values = greater experienced connection and mutual care.</x:v>
      </x:c>
      <x:c r="J41" s="43" t="str">
        <x:v>Supports internalization and sustained engagement by linking action to valued relationships.</x:v>
      </x:c>
      <x:c r="K41" s="43" t="str">
        <x:v>Values; incentives; autonomy support; need states; feedback; anticipated consequences</x:v>
      </x:c>
      <x:c r="L41" s="43" t="str">
        <x:v>Goal choice; intention; effort; persistence; disengagement; action planning</x:v>
      </x:c>
      <x:c r="M41" s="43" t="str">
        <x:v>Goal conflict, feasibility, autonomy, feedback quality, time horizon, identity relevance, and opportunity.</x:v>
      </x:c>
      <x:c r="N41" s="43" t="str">
        <x:v>Self-Efficacy; Outcome Valuation; Goal Commitment; Action Plan Specificity</x:v>
      </x:c>
      <x:c r="O41" s="43" t="str">
        <x:v>High</x:v>
      </x:c>
      <x:c r="P41" s="43" t="str">
        <x:v>Moderate</x:v>
      </x:c>
      <x:c r="Q41" s="43" t="str">
        <x:v>Minutes–Hours</x:v>
      </x:c>
      <x:c r="R41" s="43" t="str">
        <x:v>Seconds–Minutes</x:v>
      </x:c>
      <x:c r="S41" s="43" t="str">
        <x:v>Usually reversible as cues, resources, or interpretations change; repeated appraisal can stabilize.</x:v>
      </x:c>
      <x:c r="T41" s="43" t="str">
        <x:v>Connection ratings; willingness to engage; relational security</x:v>
      </x:c>
      <x:c r="U41" s="43" t="str">
        <x:v>Motivation and goal scales; goal elicitation; behavioral persistence tasks; repeated intention assessment</x:v>
      </x:c>
      <x:c r="V41" s="43" t="str">
        <x:v>Moderate</x:v>
      </x:c>
      <x:c r="W41" s="43" t="str">
        <x:v>Motivation is action- and context-specific; stated goals and intentions can overpredict behavior when opportunity or control is weak.</x:v>
      </x:c>
      <x:c r="X41" s="43" t="str">
        <x:v>Strong</x:v>
      </x:c>
      <x:c r="Y41" s="43" t="str">
        <x:v>Supported by established theory, validated measures, and converging review, meta-analytic, experimental, or longitudinal evidence. Magnitude and behavioral direction remain conditional on context. Representative records: SRC108; SRC138.</x:v>
      </x:c>
      <x:c r="Z41" s="43" t="str">
        <x:v>Collapsing intrinsic, autonomous, controlled, approach, and avoidance motivation into a single amount of motivation.</x:v>
      </x:c>
      <x:c r="AA41" s="43" t="str">
        <x:v>SRC108; SRC138</x:v>
      </x:c>
    </x:row>
    <x:row r="42" ht="72" customHeight="1">
      <x:c r="A42" s="43" t="str">
        <x:v>PSY-038</x:v>
      </x:c>
      <x:c r="B42" s="43" t="str">
        <x:v>Approach Motivation</x:v>
      </x:c>
      <x:c r="C42" s="43" t="str">
        <x:v>Approach orientation; appetitive motivation</x:v>
      </x:c>
      <x:c r="D42" s="43" t="str">
        <x:v>Psychological</x:v>
      </x:c>
      <x:c r="E42" s="43" t="str">
        <x:v>Motivation, Goals &amp; Psychological Needs</x:v>
      </x:c>
      <x:c r="F42" s="43" t="str">
        <x:v>The strength of motivation to move toward a desired outcome, reward, or opportunity.</x:v>
      </x:c>
      <x:c r="G42" s="43" t="str">
        <x:v>Unipolar continuous</x:v>
      </x:c>
      <x:c r="H42" s="43" t="str">
        <x:v>Low–high approach motivation or activation</x:v>
      </x:c>
      <x:c r="I42" s="43" t="str">
        <x:v>Higher values = stronger movement toward desired outcomes.</x:v>
      </x:c>
      <x:c r="J42" s="43" t="str">
        <x:v>Increases exploration, effort, and action readiness toward positively valued targets.</x:v>
      </x:c>
      <x:c r="K42" s="43" t="str">
        <x:v>Values; incentives; autonomy support; need states; feedback; anticipated consequences</x:v>
      </x:c>
      <x:c r="L42" s="43" t="str">
        <x:v>Goal choice; intention; effort; persistence; disengagement; action planning</x:v>
      </x:c>
      <x:c r="M42" s="43" t="str">
        <x:v>Goal conflict, feasibility, autonomy, feedback quality, time horizon, identity relevance, and opportunity.</x:v>
      </x:c>
      <x:c r="N42" s="43" t="str">
        <x:v>Self-Efficacy; Outcome Valuation; Goal Commitment; Action Plan Specificity</x:v>
      </x:c>
      <x:c r="O42" s="43" t="str">
        <x:v>High</x:v>
      </x:c>
      <x:c r="P42" s="43" t="str">
        <x:v>Moderate</x:v>
      </x:c>
      <x:c r="Q42" s="43" t="str">
        <x:v>Minutes–Hours; Days–Weeks</x:v>
      </x:c>
      <x:c r="R42" s="43" t="str">
        <x:v>Minutes–Hours</x:v>
      </x:c>
      <x:c r="S42" s="43" t="str">
        <x:v>Persists while the goal remains valued and feasible; may decay or be revised after feedback.</x:v>
      </x:c>
      <x:c r="T42" s="43" t="str">
        <x:v>Approach choice; reduced latency; effort toward reward</x:v>
      </x:c>
      <x:c r="U42" s="43" t="str">
        <x:v>Motivation and goal scales; goal elicitation; behavioral persistence tasks; repeated intention assessment</x:v>
      </x:c>
      <x:c r="V42" s="43" t="str">
        <x:v>Moderate</x:v>
      </x:c>
      <x:c r="W42" s="43" t="str">
        <x:v>Motivation is action- and context-specific; stated goals and intentions can overpredict behavior when opportunity or control is weak.</x:v>
      </x:c>
      <x:c r="X42" s="43" t="str">
        <x:v>Moderate</x:v>
      </x:c>
      <x:c r="Y42" s="43" t="str">
        <x:v>Scientifically defensible with substantial supporting literature, while causal identification, construct boundaries, measurement, or transferability remain context dependent. Representative records: SRC163; SRC115.</x:v>
      </x:c>
      <x:c r="Z42" s="43" t="str">
        <x:v>Collapsing intrinsic, autonomous, controlled, approach, and avoidance motivation into a single amount of motivation.</x:v>
      </x:c>
      <x:c r="AA42" s="43" t="str">
        <x:v>SRC163; SRC115</x:v>
      </x:c>
    </x:row>
    <x:row r="43" ht="72" customHeight="1">
      <x:c r="A43" s="43" t="str">
        <x:v>PSY-039</x:v>
      </x:c>
      <x:c r="B43" s="43" t="str">
        <x:v>Avoidance Motivation</x:v>
      </x:c>
      <x:c r="C43" s="43" t="str">
        <x:v>Avoidance orientation; aversive motivation</x:v>
      </x:c>
      <x:c r="D43" s="43" t="str">
        <x:v>Psychological</x:v>
      </x:c>
      <x:c r="E43" s="43" t="str">
        <x:v>Motivation, Goals &amp; Psychological Needs</x:v>
      </x:c>
      <x:c r="F43" s="43" t="str">
        <x:v>The strength of motivation to prevent, escape, or distance from an unwanted outcome or threat.</x:v>
      </x:c>
      <x:c r="G43" s="43" t="str">
        <x:v>Unipolar continuous</x:v>
      </x:c>
      <x:c r="H43" s="43" t="str">
        <x:v>Low–high avoidance motivation or inhibition</x:v>
      </x:c>
      <x:c r="I43" s="43" t="str">
        <x:v>Higher values = stronger movement away from unwanted outcomes.</x:v>
      </x:c>
      <x:c r="J43" s="43" t="str">
        <x:v>Directs vigilance and action toward threat prevention, withdrawal, or safety behavior.</x:v>
      </x:c>
      <x:c r="K43" s="43" t="str">
        <x:v>Values; incentives; autonomy support; need states; feedback; anticipated consequences</x:v>
      </x:c>
      <x:c r="L43" s="43" t="str">
        <x:v>Goal choice; intention; effort; persistence; disengagement; action planning</x:v>
      </x:c>
      <x:c r="M43" s="43" t="str">
        <x:v>Goal conflict, feasibility, autonomy, feedback quality, time horizon, identity relevance, and opportunity.</x:v>
      </x:c>
      <x:c r="N43" s="43" t="str">
        <x:v>Self-Efficacy; Outcome Valuation; Goal Commitment; Action Plan Specificity</x:v>
      </x:c>
      <x:c r="O43" s="43" t="str">
        <x:v>High</x:v>
      </x:c>
      <x:c r="P43" s="43" t="str">
        <x:v>Moderate</x:v>
      </x:c>
      <x:c r="Q43" s="43" t="str">
        <x:v>Minutes–Hours; Days–Weeks</x:v>
      </x:c>
      <x:c r="R43" s="43" t="str">
        <x:v>Minutes–Hours</x:v>
      </x:c>
      <x:c r="S43" s="43" t="str">
        <x:v>Persists while the goal remains valued and feasible; may decay or be revised after feedback.</x:v>
      </x:c>
      <x:c r="T43" s="43" t="str">
        <x:v>Avoidance choice; vigilance; withdrawal; safety action</x:v>
      </x:c>
      <x:c r="U43" s="43" t="str">
        <x:v>Motivation and goal scales; goal elicitation; behavioral persistence tasks; repeated intention assessment</x:v>
      </x:c>
      <x:c r="V43" s="43" t="str">
        <x:v>Moderate</x:v>
      </x:c>
      <x:c r="W43" s="43" t="str">
        <x:v>Motivation is action- and context-specific; stated goals and intentions can overpredict behavior when opportunity or control is weak.</x:v>
      </x:c>
      <x:c r="X43" s="43" t="str">
        <x:v>Moderate</x:v>
      </x:c>
      <x:c r="Y43" s="43" t="str">
        <x:v>Scientifically defensible with substantial supporting literature, while causal identification, construct boundaries, measurement, or transferability remain context dependent. Representative records: SRC163; SRC124.</x:v>
      </x:c>
      <x:c r="Z43" s="43" t="str">
        <x:v>Collapsing intrinsic, autonomous, controlled, approach, and avoidance motivation into a single amount of motivation.</x:v>
      </x:c>
      <x:c r="AA43" s="43" t="str">
        <x:v>SRC163; SRC124</x:v>
      </x:c>
    </x:row>
    <x:row r="44" ht="72" customHeight="1">
      <x:c r="A44" s="43" t="str">
        <x:v>PSY-040</x:v>
      </x:c>
      <x:c r="B44" s="43" t="str">
        <x:v>Anticipated Regret</x:v>
      </x:c>
      <x:c r="C44" s="43" t="str">
        <x:v>Expected regret; prospective regret</x:v>
      </x:c>
      <x:c r="D44" s="43" t="str">
        <x:v>Psychological</x:v>
      </x:c>
      <x:c r="E44" s="43" t="str">
        <x:v>Motivation, Goals &amp; Psychological Needs</x:v>
      </x:c>
      <x:c r="F44" s="43" t="str">
        <x:v>The expected intensity of regret that would be felt after choosing or failing to choose a specified action.</x:v>
      </x:c>
      <x:c r="G44" s="43" t="str">
        <x:v>Unipolar continuous</x:v>
      </x:c>
      <x:c r="H44" s="43" t="str">
        <x:v>Low–high anticipated regret for each option</x:v>
      </x:c>
      <x:c r="I44" s="43" t="str">
        <x:v>Higher values = greater expected regret associated with the specified choice or omission.</x:v>
      </x:c>
      <x:c r="J44" s="43" t="str">
        <x:v>Adds a prospective emotional cost to options and can increase intention for regret-avoiding action.</x:v>
      </x:c>
      <x:c r="K44" s="43" t="str">
        <x:v>Values; incentives; autonomy support; need states; feedback; anticipated consequences</x:v>
      </x:c>
      <x:c r="L44" s="43" t="str">
        <x:v>Goal choice; intention; effort; persistence; disengagement; action planning</x:v>
      </x:c>
      <x:c r="M44" s="43" t="str">
        <x:v>Goal conflict, feasibility, autonomy, feedback quality, time horizon, identity relevance, and opportunity.</x:v>
      </x:c>
      <x:c r="N44" s="43" t="str">
        <x:v>Self-Efficacy; Outcome Valuation; Goal Commitment; Action Plan Specificity</x:v>
      </x:c>
      <x:c r="O44" s="43" t="str">
        <x:v>High</x:v>
      </x:c>
      <x:c r="P44" s="43" t="str">
        <x:v>Moderate</x:v>
      </x:c>
      <x:c r="Q44" s="43" t="str">
        <x:v>Minutes–Hours</x:v>
      </x:c>
      <x:c r="R44" s="43" t="str">
        <x:v>Seconds–Minutes</x:v>
      </x:c>
      <x:c r="S44" s="43" t="str">
        <x:v>Usually reversible as cues, resources, or interpretations change; repeated appraisal can stabilize.</x:v>
      </x:c>
      <x:c r="T44" s="43" t="str">
        <x:v>Regret ratings; intention change; predecisional simulation</x:v>
      </x:c>
      <x:c r="U44" s="43" t="str">
        <x:v>Motivation and goal scales; goal elicitation; behavioral persistence tasks; repeated intention assessment</x:v>
      </x:c>
      <x:c r="V44" s="43" t="str">
        <x:v>Moderate</x:v>
      </x:c>
      <x:c r="W44" s="43" t="str">
        <x:v>Motivation is action- and context-specific; stated goals and intentions can overpredict behavior when opportunity or control is weak.</x:v>
      </x:c>
      <x:c r="X44" s="43" t="str">
        <x:v>Strong</x:v>
      </x:c>
      <x:c r="Y44" s="43" t="str">
        <x:v>Supported by established theory, validated measures, and converging review, meta-analytic, experimental, or longitudinal evidence. Magnitude and behavioral direction remain conditional on context. Representative records: SRC140; SRC141.</x:v>
      </x:c>
      <x:c r="Z44" s="43" t="str">
        <x:v>Collapsing intrinsic, autonomous, controlled, approach, and avoidance motivation into a single amount of motivation.</x:v>
      </x:c>
      <x:c r="AA44" s="43" t="str">
        <x:v>SRC140; SRC141</x:v>
      </x:c>
    </x:row>
    <x:row r="45" ht="72" customHeight="1">
      <x:c r="A45" s="43" t="str">
        <x:v>PSY-041</x:v>
      </x:c>
      <x:c r="B45" s="43" t="str">
        <x:v>Fear Intensity</x:v>
      </x:c>
      <x:c r="C45" s="43" t="str">
        <x:v>Fear; acute fear</x:v>
      </x:c>
      <x:c r="D45" s="43" t="str">
        <x:v>Psychological</x:v>
      </x:c>
      <x:c r="E45" s="43" t="str">
        <x:v>Affect &amp; Emotion</x:v>
      </x:c>
      <x:c r="F45" s="43" t="str">
        <x:v>The current intensity of an emotion centered on imminent or concrete threat and action readiness to escape or protect.</x:v>
      </x:c>
      <x:c r="G45" s="43" t="str">
        <x:v>Magnitude / level</x:v>
      </x:c>
      <x:c r="H45" s="43" t="str">
        <x:v>None–extreme fear; repeated state rating</x:v>
      </x:c>
      <x:c r="I45" s="43" t="str">
        <x:v>Higher values = more intense fear.</x:v>
      </x:c>
      <x:c r="J45" s="43" t="str">
        <x:v>Prioritizes threat information and prepares avoidance or protective action, conditional on perceived efficacy and control.</x:v>
      </x:c>
      <x:c r="K45" s="43" t="str">
        <x:v>Situation appraisal; goal progress; social signals; memory; physiological state; environmental conditions</x:v>
      </x:c>
      <x:c r="L45" s="43" t="str">
        <x:v>Attention allocation; risk appraisal; approach or avoidance; judgment; communication; action readiness</x:v>
      </x:c>
      <x:c r="M45" s="43" t="str">
        <x:v>Emotion intensity, regulation strategy, target, certainty, culture, time pressure, and current goals.</x:v>
      </x:c>
      <x:c r="N45" s="43" t="str">
        <x:v>Emotion Regulation Capacity; Subjective Arousal; Perceived Controllability; Attentional Salience</x:v>
      </x:c>
      <x:c r="O45" s="43" t="str">
        <x:v>High</x:v>
      </x:c>
      <x:c r="P45" s="43" t="str">
        <x:v>High</x:v>
      </x:c>
      <x:c r="Q45" s="43" t="str">
        <x:v>Seconds–Minutes; Minutes–Hours</x:v>
      </x:c>
      <x:c r="R45" s="43" t="str">
        <x:v>Seconds–Minutes</x:v>
      </x:c>
      <x:c r="S45" s="43" t="str">
        <x:v>Typically transient to hours, but repeated appraisal or rumination can prolong the state.</x:v>
      </x:c>
      <x:c r="T45" s="43" t="str">
        <x:v>Fear rating; escape tendency; threat-focused attention</x:v>
      </x:c>
      <x:c r="U45" s="43" t="str">
        <x:v>Validated state scales; experience sampling; behavioral expression coding; multimethod assessment</x:v>
      </x:c>
      <x:c r="V45" s="43" t="str">
        <x:v>Moderate</x:v>
      </x:c>
      <x:c r="W45" s="43" t="str">
        <x:v>Emotion labels, intensity, and expression vary across people and cultures; self-report, behavior, and physiology need not converge.</x:v>
      </x:c>
      <x:c r="X45" s="43" t="str">
        <x:v>Strong</x:v>
      </x:c>
      <x:c r="Y45" s="43" t="str">
        <x:v>Supported by established theory, validated measures, and converging review, meta-analytic, experimental, or longitudinal evidence. Magnitude and behavioral direction remain conditional on context. Representative records: SRC115; SRC175; SRC124.</x:v>
      </x:c>
      <x:c r="Z45" s="43" t="str">
        <x:v>Assigning a universal behavioral direction to an emotion; the same emotion can support different actions under different appraisals.</x:v>
      </x:c>
      <x:c r="AA45" s="43" t="str">
        <x:v>SRC115; SRC175; SRC124</x:v>
      </x:c>
    </x:row>
    <x:row r="46" ht="72" customHeight="1">
      <x:c r="A46" s="43" t="str">
        <x:v>PSY-042</x:v>
      </x:c>
      <x:c r="B46" s="43" t="str">
        <x:v>Anxiety Intensity</x:v>
      </x:c>
      <x:c r="C46" s="43" t="str">
        <x:v>State anxiety; anxious apprehension</x:v>
      </x:c>
      <x:c r="D46" s="43" t="str">
        <x:v>Psychological</x:v>
      </x:c>
      <x:c r="E46" s="43" t="str">
        <x:v>Affect &amp; Emotion</x:v>
      </x:c>
      <x:c r="F46" s="43" t="str">
        <x:v>The current intensity of diffuse apprehension, tension, or uncertainty about possible future threat.</x:v>
      </x:c>
      <x:c r="G46" s="43" t="str">
        <x:v>Magnitude / level</x:v>
      </x:c>
      <x:c r="H46" s="43" t="str">
        <x:v>None–extreme state anxiety; validated state scale</x:v>
      </x:c>
      <x:c r="I46" s="43" t="str">
        <x:v>Higher values = more intense anxiety.</x:v>
      </x:c>
      <x:c r="J46" s="43" t="str">
        <x:v>Increases threat monitoring and worry while potentially consuming working-memory resources.</x:v>
      </x:c>
      <x:c r="K46" s="43" t="str">
        <x:v>Situation appraisal; goal progress; social signals; memory; physiological state; environmental conditions</x:v>
      </x:c>
      <x:c r="L46" s="43" t="str">
        <x:v>Attention allocation; risk appraisal; approach or avoidance; judgment; communication; action readiness</x:v>
      </x:c>
      <x:c r="M46" s="43" t="str">
        <x:v>Emotion intensity, regulation strategy, target, certainty, culture, time pressure, and current goals.</x:v>
      </x:c>
      <x:c r="N46" s="43" t="str">
        <x:v>Emotion Regulation Capacity; Subjective Arousal; Perceived Controllability; Attentional Salience</x:v>
      </x:c>
      <x:c r="O46" s="43" t="str">
        <x:v>High</x:v>
      </x:c>
      <x:c r="P46" s="43" t="str">
        <x:v>High</x:v>
      </x:c>
      <x:c r="Q46" s="43" t="str">
        <x:v>Seconds–Minutes; Minutes–Hours</x:v>
      </x:c>
      <x:c r="R46" s="43" t="str">
        <x:v>Seconds–Minutes</x:v>
      </x:c>
      <x:c r="S46" s="43" t="str">
        <x:v>Typically transient to hours, but repeated appraisal or rumination can prolong the state.</x:v>
      </x:c>
      <x:c r="T46" s="43" t="str">
        <x:v>State-anxiety score; worry; vigilance; avoidance</x:v>
      </x:c>
      <x:c r="U46" s="43" t="str">
        <x:v>Validated state scales; experience sampling; behavioral expression coding; multimethod assessment</x:v>
      </x:c>
      <x:c r="V46" s="43" t="str">
        <x:v>Moderate</x:v>
      </x:c>
      <x:c r="W46" s="43" t="str">
        <x:v>Emotion labels, intensity, and expression vary across people and cultures; self-report, behavior, and physiology need not converge.</x:v>
      </x:c>
      <x:c r="X46" s="43" t="str">
        <x:v>Strong</x:v>
      </x:c>
      <x:c r="Y46" s="43" t="str">
        <x:v>Supported by established theory, validated measures, and converging review, meta-analytic, experimental, or longitudinal evidence. Magnitude and behavioral direction remain conditional on context. Representative records: SRC147; SRC148; SRC115.</x:v>
      </x:c>
      <x:c r="Z46" s="43" t="str">
        <x:v>Assigning a universal behavioral direction to an emotion; the same emotion can support different actions under different appraisals.</x:v>
      </x:c>
      <x:c r="AA46" s="43" t="str">
        <x:v>SRC147; SRC148; SRC115</x:v>
      </x:c>
    </x:row>
    <x:row r="47" ht="72" customHeight="1">
      <x:c r="A47" s="43" t="str">
        <x:v>PSY-043</x:v>
      </x:c>
      <x:c r="B47" s="43" t="str">
        <x:v>Anger Intensity</x:v>
      </x:c>
      <x:c r="C47" s="43" t="str">
        <x:v>Anger; state anger</x:v>
      </x:c>
      <x:c r="D47" s="43" t="str">
        <x:v>Psychological</x:v>
      </x:c>
      <x:c r="E47" s="43" t="str">
        <x:v>Affect &amp; Emotion</x:v>
      </x:c>
      <x:c r="F47" s="43" t="str">
        <x:v>The current intensity of anger arising from perceived offense, obstruction, injustice, or blame.</x:v>
      </x:c>
      <x:c r="G47" s="43" t="str">
        <x:v>Magnitude / level</x:v>
      </x:c>
      <x:c r="H47" s="43" t="str">
        <x:v>None–extreme anger; state-anger scale</x:v>
      </x:c>
      <x:c r="I47" s="43" t="str">
        <x:v>Higher values = more intense anger.</x:v>
      </x:c>
      <x:c r="J47" s="43" t="str">
        <x:v>Increases approach readiness, blame, risk acceptance, confrontation, and corrective action under some conditions.</x:v>
      </x:c>
      <x:c r="K47" s="43" t="str">
        <x:v>Situation appraisal; goal progress; social signals; memory; physiological state; environmental conditions</x:v>
      </x:c>
      <x:c r="L47" s="43" t="str">
        <x:v>Attention allocation; risk appraisal; approach or avoidance; judgment; communication; action readiness</x:v>
      </x:c>
      <x:c r="M47" s="43" t="str">
        <x:v>Emotion intensity, regulation strategy, target, certainty, culture, time pressure, and current goals.</x:v>
      </x:c>
      <x:c r="N47" s="43" t="str">
        <x:v>Emotion Regulation Capacity; Subjective Arousal; Perceived Controllability; Attentional Salience</x:v>
      </x:c>
      <x:c r="O47" s="43" t="str">
        <x:v>High</x:v>
      </x:c>
      <x:c r="P47" s="43" t="str">
        <x:v>High</x:v>
      </x:c>
      <x:c r="Q47" s="43" t="str">
        <x:v>Seconds–Minutes; Minutes–Hours</x:v>
      </x:c>
      <x:c r="R47" s="43" t="str">
        <x:v>Seconds–Minutes</x:v>
      </x:c>
      <x:c r="S47" s="43" t="str">
        <x:v>Typically transient to hours, but repeated appraisal or rumination can prolong the state.</x:v>
      </x:c>
      <x:c r="T47" s="43" t="str">
        <x:v>Anger rating; confrontation tendency; hostile attribution</x:v>
      </x:c>
      <x:c r="U47" s="43" t="str">
        <x:v>Validated state scales; experience sampling; behavioral expression coding; multimethod assessment</x:v>
      </x:c>
      <x:c r="V47" s="43" t="str">
        <x:v>Moderate</x:v>
      </x:c>
      <x:c r="W47" s="43" t="str">
        <x:v>Emotion labels, intensity, and expression vary across people and cultures; self-report, behavior, and physiology need not converge.</x:v>
      </x:c>
      <x:c r="X47" s="43" t="str">
        <x:v>Strong</x:v>
      </x:c>
      <x:c r="Y47" s="43" t="str">
        <x:v>Supported by established theory, validated measures, and converging review, meta-analytic, experimental, or longitudinal evidence. Magnitude and behavioral direction remain conditional on context. Representative records: SRC115; SRC176.</x:v>
      </x:c>
      <x:c r="Z47" s="43" t="str">
        <x:v>Assigning a universal behavioral direction to an emotion; the same emotion can support different actions under different appraisals.</x:v>
      </x:c>
      <x:c r="AA47" s="43" t="str">
        <x:v>SRC115; SRC176</x:v>
      </x:c>
    </x:row>
    <x:row r="48" ht="72" customHeight="1">
      <x:c r="A48" s="43" t="str">
        <x:v>PSY-044</x:v>
      </x:c>
      <x:c r="B48" s="43" t="str">
        <x:v>Disgust Intensity</x:v>
      </x:c>
      <x:c r="C48" s="43" t="str">
        <x:v>Disgust; state disgust</x:v>
      </x:c>
      <x:c r="D48" s="43" t="str">
        <x:v>Psychological</x:v>
      </x:c>
      <x:c r="E48" s="43" t="str">
        <x:v>Affect &amp; Emotion</x:v>
      </x:c>
      <x:c r="F48" s="43" t="str">
        <x:v>The current intensity of aversion associated with contamination, revulsion, or moralized rejection.</x:v>
      </x:c>
      <x:c r="G48" s="43" t="str">
        <x:v>Magnitude / level</x:v>
      </x:c>
      <x:c r="H48" s="43" t="str">
        <x:v>None–extreme disgust; domain-specific rating</x:v>
      </x:c>
      <x:c r="I48" s="43" t="str">
        <x:v>Higher values = more intense disgust.</x:v>
      </x:c>
      <x:c r="J48" s="43" t="str">
        <x:v>Promotes avoidance, rejection, and boundary protection while biasing evaluation of associated targets.</x:v>
      </x:c>
      <x:c r="K48" s="43" t="str">
        <x:v>Situation appraisal; goal progress; social signals; memory; physiological state; environmental conditions</x:v>
      </x:c>
      <x:c r="L48" s="43" t="str">
        <x:v>Attention allocation; risk appraisal; approach or avoidance; judgment; communication; action readiness</x:v>
      </x:c>
      <x:c r="M48" s="43" t="str">
        <x:v>Emotion intensity, regulation strategy, target, certainty, culture, time pressure, and current goals.</x:v>
      </x:c>
      <x:c r="N48" s="43" t="str">
        <x:v>Emotion Regulation Capacity; Subjective Arousal; Perceived Controllability; Attentional Salience</x:v>
      </x:c>
      <x:c r="O48" s="43" t="str">
        <x:v>High</x:v>
      </x:c>
      <x:c r="P48" s="43" t="str">
        <x:v>High</x:v>
      </x:c>
      <x:c r="Q48" s="43" t="str">
        <x:v>Seconds–Minutes; Minutes–Hours</x:v>
      </x:c>
      <x:c r="R48" s="43" t="str">
        <x:v>Seconds–Minutes</x:v>
      </x:c>
      <x:c r="S48" s="43" t="str">
        <x:v>Typically transient to hours, but repeated appraisal or rumination can prolong the state.</x:v>
      </x:c>
      <x:c r="T48" s="43" t="str">
        <x:v>Disgust rating; avoidance distance; rejection judgments</x:v>
      </x:c>
      <x:c r="U48" s="43" t="str">
        <x:v>Validated state scales; experience sampling; behavioral expression coding; multimethod assessment</x:v>
      </x:c>
      <x:c r="V48" s="43" t="str">
        <x:v>Moderate</x:v>
      </x:c>
      <x:c r="W48" s="43" t="str">
        <x:v>Emotion labels, intensity, and expression vary across people and cultures; self-report, behavior, and physiology need not converge.</x:v>
      </x:c>
      <x:c r="X48" s="43" t="str">
        <x:v>Moderate</x:v>
      </x:c>
      <x:c r="Y48" s="43" t="str">
        <x:v>Scientifically defensible with substantial supporting literature, while causal identification, construct boundaries, measurement, or transferability remain context dependent. Representative records: SRC115; SRC177.</x:v>
      </x:c>
      <x:c r="Z48" s="43" t="str">
        <x:v>Assigning a universal behavioral direction to an emotion; the same emotion can support different actions under different appraisals.</x:v>
      </x:c>
      <x:c r="AA48" s="43" t="str">
        <x:v>SRC115; SRC177</x:v>
      </x:c>
    </x:row>
    <x:row r="49" ht="72" customHeight="1">
      <x:c r="A49" s="43" t="str">
        <x:v>PSY-045</x:v>
      </x:c>
      <x:c r="B49" s="43" t="str">
        <x:v>Shame Intensity</x:v>
      </x:c>
      <x:c r="C49" s="43" t="str">
        <x:v>State shame; self-condemnation</x:v>
      </x:c>
      <x:c r="D49" s="43" t="str">
        <x:v>Psychological</x:v>
      </x:c>
      <x:c r="E49" s="43" t="str">
        <x:v>Affect &amp; Emotion</x:v>
      </x:c>
      <x:c r="F49" s="43" t="str">
        <x:v>The current intensity of painful negative evaluation of the global self following actual or anticipated failure or exposure.</x:v>
      </x:c>
      <x:c r="G49" s="43" t="str">
        <x:v>Magnitude / level</x:v>
      </x:c>
      <x:c r="H49" s="43" t="str">
        <x:v>None–extreme shame; event-specific rating</x:v>
      </x:c>
      <x:c r="I49" s="43" t="str">
        <x:v>Higher values = more intense shame.</x:v>
      </x:c>
      <x:c r="J49" s="43" t="str">
        <x:v>Can motivate concealment, withdrawal, appeasement, or defensive externalization depending on coping options.</x:v>
      </x:c>
      <x:c r="K49" s="43" t="str">
        <x:v>Situation appraisal; goal progress; social signals; memory; physiological state; environmental conditions</x:v>
      </x:c>
      <x:c r="L49" s="43" t="str">
        <x:v>Attention allocation; risk appraisal; approach or avoidance; judgment; communication; action readiness</x:v>
      </x:c>
      <x:c r="M49" s="43" t="str">
        <x:v>Emotion intensity, regulation strategy, target, certainty, culture, time pressure, and current goals.</x:v>
      </x:c>
      <x:c r="N49" s="43" t="str">
        <x:v>Emotion Regulation Capacity; Subjective Arousal; Perceived Controllability; Attentional Salience</x:v>
      </x:c>
      <x:c r="O49" s="43" t="str">
        <x:v>High</x:v>
      </x:c>
      <x:c r="P49" s="43" t="str">
        <x:v>High</x:v>
      </x:c>
      <x:c r="Q49" s="43" t="str">
        <x:v>Seconds–Minutes; Minutes–Hours</x:v>
      </x:c>
      <x:c r="R49" s="43" t="str">
        <x:v>Seconds–Minutes</x:v>
      </x:c>
      <x:c r="S49" s="43" t="str">
        <x:v>Typically transient to hours, but repeated appraisal or rumination can prolong the state.</x:v>
      </x:c>
      <x:c r="T49" s="43" t="str">
        <x:v>Shame rating; hiding; withdrawal; defensive anger</x:v>
      </x:c>
      <x:c r="U49" s="43" t="str">
        <x:v>Validated state scales; experience sampling; behavioral expression coding; multimethod assessment</x:v>
      </x:c>
      <x:c r="V49" s="43" t="str">
        <x:v>Moderate</x:v>
      </x:c>
      <x:c r="W49" s="43" t="str">
        <x:v>Emotion labels, intensity, and expression vary across people and cultures; self-report, behavior, and physiology need not converge.</x:v>
      </x:c>
      <x:c r="X49" s="43" t="str">
        <x:v>Moderate</x:v>
      </x:c>
      <x:c r="Y49" s="43" t="str">
        <x:v>Scientifically defensible with substantial supporting literature, while causal identification, construct boundaries, measurement, or transferability remain context dependent. Representative records: SRC178; SRC115.</x:v>
      </x:c>
      <x:c r="Z49" s="43" t="str">
        <x:v>Assigning a universal behavioral direction to an emotion; the same emotion can support different actions under different appraisals.</x:v>
      </x:c>
      <x:c r="AA49" s="43" t="str">
        <x:v>SRC178; SRC115</x:v>
      </x:c>
    </x:row>
    <x:row r="50" ht="72" customHeight="1">
      <x:c r="A50" s="43" t="str">
        <x:v>PSY-046</x:v>
      </x:c>
      <x:c r="B50" s="43" t="str">
        <x:v>Guilt Intensity</x:v>
      </x:c>
      <x:c r="C50" s="43" t="str">
        <x:v>State guilt; action-focused remorse</x:v>
      </x:c>
      <x:c r="D50" s="43" t="str">
        <x:v>Psychological</x:v>
      </x:c>
      <x:c r="E50" s="43" t="str">
        <x:v>Affect &amp; Emotion</x:v>
      </x:c>
      <x:c r="F50" s="43" t="str">
        <x:v>The current intensity of negative evaluation of a specific action or omission for which the person feels responsible.</x:v>
      </x:c>
      <x:c r="G50" s="43" t="str">
        <x:v>Magnitude / level</x:v>
      </x:c>
      <x:c r="H50" s="43" t="str">
        <x:v>None–extreme guilt; event-specific rating</x:v>
      </x:c>
      <x:c r="I50" s="43" t="str">
        <x:v>Higher values = more intense guilt.</x:v>
      </x:c>
      <x:c r="J50" s="43" t="str">
        <x:v>Can motivate confession, repair, restitution, or avoidance when responsibility and repair feasibility are salient.</x:v>
      </x:c>
      <x:c r="K50" s="43" t="str">
        <x:v>Situation appraisal; goal progress; social signals; memory; physiological state; environmental conditions</x:v>
      </x:c>
      <x:c r="L50" s="43" t="str">
        <x:v>Attention allocation; risk appraisal; approach or avoidance; judgment; communication; action readiness</x:v>
      </x:c>
      <x:c r="M50" s="43" t="str">
        <x:v>Emotion intensity, regulation strategy, target, certainty, culture, time pressure, and current goals.</x:v>
      </x:c>
      <x:c r="N50" s="43" t="str">
        <x:v>Emotion Regulation Capacity; Subjective Arousal; Perceived Controllability; Attentional Salience</x:v>
      </x:c>
      <x:c r="O50" s="43" t="str">
        <x:v>High</x:v>
      </x:c>
      <x:c r="P50" s="43" t="str">
        <x:v>High</x:v>
      </x:c>
      <x:c r="Q50" s="43" t="str">
        <x:v>Seconds–Minutes; Minutes–Hours</x:v>
      </x:c>
      <x:c r="R50" s="43" t="str">
        <x:v>Seconds–Minutes</x:v>
      </x:c>
      <x:c r="S50" s="43" t="str">
        <x:v>Typically transient to hours, but repeated appraisal or rumination can prolong the state.</x:v>
      </x:c>
      <x:c r="T50" s="43" t="str">
        <x:v>Guilt rating; apology; repair or restitution intent</x:v>
      </x:c>
      <x:c r="U50" s="43" t="str">
        <x:v>Validated state scales; experience sampling; behavioral expression coding; multimethod assessment</x:v>
      </x:c>
      <x:c r="V50" s="43" t="str">
        <x:v>Moderate</x:v>
      </x:c>
      <x:c r="W50" s="43" t="str">
        <x:v>Emotion labels, intensity, and expression vary across people and cultures; self-report, behavior, and physiology need not converge.</x:v>
      </x:c>
      <x:c r="X50" s="43" t="str">
        <x:v>Moderate</x:v>
      </x:c>
      <x:c r="Y50" s="43" t="str">
        <x:v>Scientifically defensible with substantial supporting literature, while causal identification, construct boundaries, measurement, or transferability remain context dependent. Representative records: SRC178; SRC115.</x:v>
      </x:c>
      <x:c r="Z50" s="43" t="str">
        <x:v>Assigning a universal behavioral direction to an emotion; the same emotion can support different actions under different appraisals.</x:v>
      </x:c>
      <x:c r="AA50" s="43" t="str">
        <x:v>SRC178; SRC115</x:v>
      </x:c>
    </x:row>
    <x:row r="51" ht="72" customHeight="1">
      <x:c r="A51" s="43" t="str">
        <x:v>PSY-047</x:v>
      </x:c>
      <x:c r="B51" s="43" t="str">
        <x:v>Sadness Intensity</x:v>
      </x:c>
      <x:c r="C51" s="43" t="str">
        <x:v>Sadness; state sadness</x:v>
      </x:c>
      <x:c r="D51" s="43" t="str">
        <x:v>Psychological</x:v>
      </x:c>
      <x:c r="E51" s="43" t="str">
        <x:v>Affect &amp; Emotion</x:v>
      </x:c>
      <x:c r="F51" s="43" t="str">
        <x:v>The current intensity of sadness associated with perceived loss, helplessness, or unattained goals.</x:v>
      </x:c>
      <x:c r="G51" s="43" t="str">
        <x:v>Magnitude / level</x:v>
      </x:c>
      <x:c r="H51" s="43" t="str">
        <x:v>None–extreme sadness; state rating</x:v>
      </x:c>
      <x:c r="I51" s="43" t="str">
        <x:v>Higher values = more intense sadness.</x:v>
      </x:c>
      <x:c r="J51" s="43" t="str">
        <x:v>Changes reward valuation, information processing, withdrawal, and support seeking depending on context.</x:v>
      </x:c>
      <x:c r="K51" s="43" t="str">
        <x:v>Situation appraisal; goal progress; social signals; memory; physiological state; environmental conditions</x:v>
      </x:c>
      <x:c r="L51" s="43" t="str">
        <x:v>Attention allocation; risk appraisal; approach or avoidance; judgment; communication; action readiness</x:v>
      </x:c>
      <x:c r="M51" s="43" t="str">
        <x:v>Emotion intensity, regulation strategy, target, certainty, culture, time pressure, and current goals.</x:v>
      </x:c>
      <x:c r="N51" s="43" t="str">
        <x:v>Emotion Regulation Capacity; Subjective Arousal; Perceived Controllability; Attentional Salience</x:v>
      </x:c>
      <x:c r="O51" s="43" t="str">
        <x:v>High</x:v>
      </x:c>
      <x:c r="P51" s="43" t="str">
        <x:v>High</x:v>
      </x:c>
      <x:c r="Q51" s="43" t="str">
        <x:v>Seconds–Minutes; Minutes–Hours</x:v>
      </x:c>
      <x:c r="R51" s="43" t="str">
        <x:v>Seconds–Minutes</x:v>
      </x:c>
      <x:c r="S51" s="43" t="str">
        <x:v>Typically transient to hours, but repeated appraisal or rumination can prolong the state.</x:v>
      </x:c>
      <x:c r="T51" s="43" t="str">
        <x:v>Sadness rating; reduced approach; support seeking</x:v>
      </x:c>
      <x:c r="U51" s="43" t="str">
        <x:v>Validated state scales; experience sampling; behavioral expression coding; multimethod assessment</x:v>
      </x:c>
      <x:c r="V51" s="43" t="str">
        <x:v>Moderate</x:v>
      </x:c>
      <x:c r="W51" s="43" t="str">
        <x:v>Emotion labels, intensity, and expression vary across people and cultures; self-report, behavior, and physiology need not converge.</x:v>
      </x:c>
      <x:c r="X51" s="43" t="str">
        <x:v>Strong</x:v>
      </x:c>
      <x:c r="Y51" s="43" t="str">
        <x:v>Supported by established theory, validated measures, and converging review, meta-analytic, experimental, or longitudinal evidence. Magnitude and behavioral direction remain conditional on context. Representative records: SRC115; SRC142.</x:v>
      </x:c>
      <x:c r="Z51" s="43" t="str">
        <x:v>Assigning a universal behavioral direction to an emotion; the same emotion can support different actions under different appraisals.</x:v>
      </x:c>
      <x:c r="AA51" s="43" t="str">
        <x:v>SRC115; SRC142</x:v>
      </x:c>
    </x:row>
    <x:row r="52" ht="72" customHeight="1">
      <x:c r="A52" s="43" t="str">
        <x:v>PSY-048</x:v>
      </x:c>
      <x:c r="B52" s="43" t="str">
        <x:v>Hope Intensity</x:v>
      </x:c>
      <x:c r="C52" s="43" t="str">
        <x:v>Hopeful affect; state hope</x:v>
      </x:c>
      <x:c r="D52" s="43" t="str">
        <x:v>Psychological</x:v>
      </x:c>
      <x:c r="E52" s="43" t="str">
        <x:v>Affect &amp; Emotion</x:v>
      </x:c>
      <x:c r="F52" s="43" t="str">
        <x:v>The current intensity of positive expectation and affect that a valued future outcome remains attainable.</x:v>
      </x:c>
      <x:c r="G52" s="43" t="str">
        <x:v>Magnitude / level</x:v>
      </x:c>
      <x:c r="H52" s="43" t="str">
        <x:v>None–extreme hope; state rating</x:v>
      </x:c>
      <x:c r="I52" s="43" t="str">
        <x:v>Higher values = more intense hope.</x:v>
      </x:c>
      <x:c r="J52" s="43" t="str">
        <x:v>Sustains approach and planning by maintaining perceived attainability of valued outcomes.</x:v>
      </x:c>
      <x:c r="K52" s="43" t="str">
        <x:v>Situation appraisal; goal progress; social signals; memory; physiological state; environmental conditions</x:v>
      </x:c>
      <x:c r="L52" s="43" t="str">
        <x:v>Attention allocation; risk appraisal; approach or avoidance; judgment; communication; action readiness</x:v>
      </x:c>
      <x:c r="M52" s="43" t="str">
        <x:v>Emotion intensity, regulation strategy, target, certainty, culture, time pressure, and current goals.</x:v>
      </x:c>
      <x:c r="N52" s="43" t="str">
        <x:v>Emotion Regulation Capacity; Subjective Arousal; Perceived Controllability; Attentional Salience</x:v>
      </x:c>
      <x:c r="O52" s="43" t="str">
        <x:v>High</x:v>
      </x:c>
      <x:c r="P52" s="43" t="str">
        <x:v>High</x:v>
      </x:c>
      <x:c r="Q52" s="43" t="str">
        <x:v>Seconds–Minutes; Minutes–Hours</x:v>
      </x:c>
      <x:c r="R52" s="43" t="str">
        <x:v>Seconds–Minutes</x:v>
      </x:c>
      <x:c r="S52" s="43" t="str">
        <x:v>Typically transient to hours, but repeated appraisal or rumination can prolong the state.</x:v>
      </x:c>
      <x:c r="T52" s="43" t="str">
        <x:v>Hope rating; continued effort; pathway generation</x:v>
      </x:c>
      <x:c r="U52" s="43" t="str">
        <x:v>Validated state scales; experience sampling; behavioral expression coding; multimethod assessment</x:v>
      </x:c>
      <x:c r="V52" s="43" t="str">
        <x:v>Moderate</x:v>
      </x:c>
      <x:c r="W52" s="43" t="str">
        <x:v>Emotion labels, intensity, and expression vary across people and cultures; self-report, behavior, and physiology need not converge.</x:v>
      </x:c>
      <x:c r="X52" s="43" t="str">
        <x:v>Moderate</x:v>
      </x:c>
      <x:c r="Y52" s="43" t="str">
        <x:v>Scientifically defensible with substantial supporting literature, while causal identification, construct boundaries, measurement, or transferability remain context dependent. Representative records: SRC179; SRC118.</x:v>
      </x:c>
      <x:c r="Z52" s="43" t="str">
        <x:v>Assigning a universal behavioral direction to an emotion; the same emotion can support different actions under different appraisals.</x:v>
      </x:c>
      <x:c r="AA52" s="43" t="str">
        <x:v>SRC179; SRC118</x:v>
      </x:c>
    </x:row>
    <x:row r="53" ht="72" customHeight="1">
      <x:c r="A53" s="43" t="str">
        <x:v>PSY-049</x:v>
      </x:c>
      <x:c r="B53" s="43" t="str">
        <x:v>Pride Intensity</x:v>
      </x:c>
      <x:c r="C53" s="43" t="str">
        <x:v>State pride; accomplishment-related pride</x:v>
      </x:c>
      <x:c r="D53" s="43" t="str">
        <x:v>Psychological</x:v>
      </x:c>
      <x:c r="E53" s="43" t="str">
        <x:v>Affect &amp; Emotion</x:v>
      </x:c>
      <x:c r="F53" s="43" t="str">
        <x:v>The current intensity of positive self-evaluation linked to achievement, identity, or social recognition.</x:v>
      </x:c>
      <x:c r="G53" s="43" t="str">
        <x:v>Magnitude / level</x:v>
      </x:c>
      <x:c r="H53" s="43" t="str">
        <x:v>None–extreme pride; authentic/hubristic subscales where needed</x:v>
      </x:c>
      <x:c r="I53" s="43" t="str">
        <x:v>Higher values = more intense pride of the specified form.</x:v>
      </x:c>
      <x:c r="J53" s="43" t="str">
        <x:v>Reinforces identity-congruent achievement and can increase persistence, status behavior, or display.</x:v>
      </x:c>
      <x:c r="K53" s="43" t="str">
        <x:v>Situation appraisal; goal progress; social signals; memory; physiological state; environmental conditions</x:v>
      </x:c>
      <x:c r="L53" s="43" t="str">
        <x:v>Attention allocation; risk appraisal; approach or avoidance; judgment; communication; action readiness</x:v>
      </x:c>
      <x:c r="M53" s="43" t="str">
        <x:v>Emotion intensity, regulation strategy, target, certainty, culture, time pressure, and current goals.</x:v>
      </x:c>
      <x:c r="N53" s="43" t="str">
        <x:v>Emotion Regulation Capacity; Subjective Arousal; Perceived Controllability; Attentional Salience</x:v>
      </x:c>
      <x:c r="O53" s="43" t="str">
        <x:v>High</x:v>
      </x:c>
      <x:c r="P53" s="43" t="str">
        <x:v>High</x:v>
      </x:c>
      <x:c r="Q53" s="43" t="str">
        <x:v>Seconds–Minutes; Minutes–Hours</x:v>
      </x:c>
      <x:c r="R53" s="43" t="str">
        <x:v>Seconds–Minutes</x:v>
      </x:c>
      <x:c r="S53" s="43" t="str">
        <x:v>Typically transient to hours, but repeated appraisal or rumination can prolong the state.</x:v>
      </x:c>
      <x:c r="T53" s="43" t="str">
        <x:v>Pride rating; posture or display; achievement persistence</x:v>
      </x:c>
      <x:c r="U53" s="43" t="str">
        <x:v>Validated state scales; experience sampling; behavioral expression coding; multimethod assessment</x:v>
      </x:c>
      <x:c r="V53" s="43" t="str">
        <x:v>Moderate</x:v>
      </x:c>
      <x:c r="W53" s="43" t="str">
        <x:v>Emotion labels, intensity, and expression vary across people and cultures; self-report, behavior, and physiology need not converge.</x:v>
      </x:c>
      <x:c r="X53" s="43" t="str">
        <x:v>Moderate</x:v>
      </x:c>
      <x:c r="Y53" s="43" t="str">
        <x:v>Scientifically defensible with substantial supporting literature, while causal identification, construct boundaries, measurement, or transferability remain context dependent. Representative records: SRC180; SRC115.</x:v>
      </x:c>
      <x:c r="Z53" s="43" t="str">
        <x:v>Assigning a universal behavioral direction to an emotion; the same emotion can support different actions under different appraisals.</x:v>
      </x:c>
      <x:c r="AA53" s="43" t="str">
        <x:v>SRC180; SRC115</x:v>
      </x:c>
    </x:row>
    <x:row r="54" ht="72" customHeight="1">
      <x:c r="A54" s="43" t="str">
        <x:v>PSY-050</x:v>
      </x:c>
      <x:c r="B54" s="43" t="str">
        <x:v>Mood Valence</x:v>
      </x:c>
      <x:c r="C54" s="43" t="str">
        <x:v>Positive–negative mood; affective valence</x:v>
      </x:c>
      <x:c r="D54" s="43" t="str">
        <x:v>Psychological</x:v>
      </x:c>
      <x:c r="E54" s="43" t="str">
        <x:v>Affect &amp; Emotion</x:v>
      </x:c>
      <x:c r="F54" s="43" t="str">
        <x:v>The overall pleasantness or unpleasantness of a person's current diffuse affective state.</x:v>
      </x:c>
      <x:c r="G54" s="43" t="str">
        <x:v>Bipolar continuous</x:v>
      </x:c>
      <x:c r="H54" s="43" t="str">
        <x:v>Negative–neutral–positive; repeated mood rating</x:v>
      </x:c>
      <x:c r="I54" s="43" t="str">
        <x:v>Negative values = more unpleasant mood; positive values = more pleasant mood.</x:v>
      </x:c>
      <x:c r="J54" s="43" t="str">
        <x:v>Acts as contextual information and changes attention, memory accessibility, valuation, and judgment strategy.</x:v>
      </x:c>
      <x:c r="K54" s="43" t="str">
        <x:v>Situation appraisal; goal progress; social signals; memory; physiological state; environmental conditions</x:v>
      </x:c>
      <x:c r="L54" s="43" t="str">
        <x:v>Attention allocation; risk appraisal; approach or avoidance; judgment; communication; action readiness</x:v>
      </x:c>
      <x:c r="M54" s="43" t="str">
        <x:v>Emotion intensity, regulation strategy, target, certainty, culture, time pressure, and current goals.</x:v>
      </x:c>
      <x:c r="N54" s="43" t="str">
        <x:v>Emotion Regulation Capacity; Subjective Arousal; Perceived Controllability; Attentional Salience</x:v>
      </x:c>
      <x:c r="O54" s="43" t="str">
        <x:v>High</x:v>
      </x:c>
      <x:c r="P54" s="43" t="str">
        <x:v>High</x:v>
      </x:c>
      <x:c r="Q54" s="43" t="str">
        <x:v>Seconds–Minutes; Minutes–Hours</x:v>
      </x:c>
      <x:c r="R54" s="43" t="str">
        <x:v>Seconds–Minutes</x:v>
      </x:c>
      <x:c r="S54" s="43" t="str">
        <x:v>Typically transient to hours, but repeated appraisal or rumination can prolong the state.</x:v>
      </x:c>
      <x:c r="T54" s="43" t="str">
        <x:v>Valence rating; positive/negative affect profile; affect-congruent recall</x:v>
      </x:c>
      <x:c r="U54" s="43" t="str">
        <x:v>Validated state scales; experience sampling; behavioral expression coding; multimethod assessment</x:v>
      </x:c>
      <x:c r="V54" s="43" t="str">
        <x:v>Moderate</x:v>
      </x:c>
      <x:c r="W54" s="43" t="str">
        <x:v>Emotion labels, intensity, and expression vary across people and cultures; self-report, behavior, and physiology need not converge.</x:v>
      </x:c>
      <x:c r="X54" s="43" t="str">
        <x:v>Strong</x:v>
      </x:c>
      <x:c r="Y54" s="43" t="str">
        <x:v>Supported by established theory, validated measures, and converging review, meta-analytic, experimental, or longitudinal evidence. Magnitude and behavioral direction remain conditional on context. Representative records: SRC142; SRC115.</x:v>
      </x:c>
      <x:c r="Z54" s="43" t="str">
        <x:v>Assigning a universal behavioral direction to an emotion; the same emotion can support different actions under different appraisals.</x:v>
      </x:c>
      <x:c r="AA54" s="43" t="str">
        <x:v>SRC142; SRC115</x:v>
      </x:c>
    </x:row>
    <x:row r="55" ht="72" customHeight="1">
      <x:c r="A55" s="43" t="str">
        <x:v>PSY-051</x:v>
      </x:c>
      <x:c r="B55" s="43" t="str">
        <x:v>Subjective Arousal</x:v>
      </x:c>
      <x:c r="C55" s="43" t="str">
        <x:v>Felt activation; energetic arousal</x:v>
      </x:c>
      <x:c r="D55" s="43" t="str">
        <x:v>Psychological</x:v>
      </x:c>
      <x:c r="E55" s="43" t="str">
        <x:v>Affect &amp; Emotion</x:v>
      </x:c>
      <x:c r="F55" s="43" t="str">
        <x:v>The consciously experienced level of activation, alertness, or agitation at a given time.</x:v>
      </x:c>
      <x:c r="G55" s="43" t="str">
        <x:v>Unipolar continuous</x:v>
      </x:c>
      <x:c r="H55" s="43" t="str">
        <x:v>Calm/low activation–high activation; arousal scale</x:v>
      </x:c>
      <x:c r="I55" s="43" t="str">
        <x:v>Higher values = greater felt activation.</x:v>
      </x:c>
      <x:c r="J55" s="43" t="str">
        <x:v>Changes action readiness and the intensity with which appraisals and emotions influence attention and choice.</x:v>
      </x:c>
      <x:c r="K55" s="43" t="str">
        <x:v>Situation appraisal; goal progress; social signals; memory; physiological state; environmental conditions</x:v>
      </x:c>
      <x:c r="L55" s="43" t="str">
        <x:v>Attention allocation; risk appraisal; approach or avoidance; judgment; communication; action readiness</x:v>
      </x:c>
      <x:c r="M55" s="43" t="str">
        <x:v>Emotion intensity, regulation strategy, target, certainty, culture, time pressure, and current goals.</x:v>
      </x:c>
      <x:c r="N55" s="43" t="str">
        <x:v>Emotion Regulation Capacity; Subjective Arousal; Perceived Controllability; Attentional Salience</x:v>
      </x:c>
      <x:c r="O55" s="43" t="str">
        <x:v>High</x:v>
      </x:c>
      <x:c r="P55" s="43" t="str">
        <x:v>High</x:v>
      </x:c>
      <x:c r="Q55" s="43" t="str">
        <x:v>Seconds–Minutes; Minutes–Hours</x:v>
      </x:c>
      <x:c r="R55" s="43" t="str">
        <x:v>Seconds–Minutes</x:v>
      </x:c>
      <x:c r="S55" s="43" t="str">
        <x:v>Typically transient to hours, but repeated appraisal or rumination can prolong the state.</x:v>
      </x:c>
      <x:c r="T55" s="43" t="str">
        <x:v>Arousal rating; activation language; response vigor</x:v>
      </x:c>
      <x:c r="U55" s="43" t="str">
        <x:v>Validated state scales; experience sampling; behavioral expression coding; multimethod assessment</x:v>
      </x:c>
      <x:c r="V55" s="43" t="str">
        <x:v>Moderate</x:v>
      </x:c>
      <x:c r="W55" s="43" t="str">
        <x:v>Emotion labels, intensity, and expression vary across people and cultures; self-report, behavior, and physiology need not converge.</x:v>
      </x:c>
      <x:c r="X55" s="43" t="str">
        <x:v>Moderate</x:v>
      </x:c>
      <x:c r="Y55" s="43" t="str">
        <x:v>Scientifically defensible with substantial supporting literature, while causal identification, construct boundaries, measurement, or transferability remain context dependent. Representative records: SRC142; SRC115.</x:v>
      </x:c>
      <x:c r="Z55" s="43" t="str">
        <x:v>Assigning a universal behavioral direction to an emotion; the same emotion can support different actions under different appraisals.</x:v>
      </x:c>
      <x:c r="AA55" s="43" t="str">
        <x:v>SRC142; SRC115</x:v>
      </x:c>
    </x:row>
    <x:row r="56" ht="72" customHeight="1">
      <x:c r="A56" s="43" t="str">
        <x:v>PSY-052</x:v>
      </x:c>
      <x:c r="B56" s="43" t="str">
        <x:v>Frustration Intensity</x:v>
      </x:c>
      <x:c r="C56" s="43" t="str">
        <x:v>Goal-blockage frustration; state frustration</x:v>
      </x:c>
      <x:c r="D56" s="43" t="str">
        <x:v>Psychological</x:v>
      </x:c>
      <x:c r="E56" s="43" t="str">
        <x:v>Affect &amp; Emotion</x:v>
      </x:c>
      <x:c r="F56" s="43" t="str">
        <x:v>The current intensity of aversive affect produced by blocked, delayed, or repeatedly unsuccessful goal pursuit.</x:v>
      </x:c>
      <x:c r="G56" s="43" t="str">
        <x:v>Magnitude / level</x:v>
      </x:c>
      <x:c r="H56" s="43" t="str">
        <x:v>None–extreme frustration; event-specific scale</x:v>
      </x:c>
      <x:c r="I56" s="43" t="str">
        <x:v>Higher values = greater frustration.</x:v>
      </x:c>
      <x:c r="J56" s="43" t="str">
        <x:v>Increases switching, persistence, aggression, or disengagement depending on control and coping options.</x:v>
      </x:c>
      <x:c r="K56" s="43" t="str">
        <x:v>Situation appraisal; goal progress; social signals; memory; physiological state; environmental conditions</x:v>
      </x:c>
      <x:c r="L56" s="43" t="str">
        <x:v>Attention allocation; risk appraisal; approach or avoidance; judgment; communication; action readiness</x:v>
      </x:c>
      <x:c r="M56" s="43" t="str">
        <x:v>Emotion intensity, regulation strategy, target, certainty, culture, time pressure, and current goals.</x:v>
      </x:c>
      <x:c r="N56" s="43" t="str">
        <x:v>Emotion Regulation Capacity; Subjective Arousal; Perceived Controllability; Attentional Salience</x:v>
      </x:c>
      <x:c r="O56" s="43" t="str">
        <x:v>High</x:v>
      </x:c>
      <x:c r="P56" s="43" t="str">
        <x:v>High</x:v>
      </x:c>
      <x:c r="Q56" s="43" t="str">
        <x:v>Seconds–Minutes; Minutes–Hours</x:v>
      </x:c>
      <x:c r="R56" s="43" t="str">
        <x:v>Seconds–Minutes</x:v>
      </x:c>
      <x:c r="S56" s="43" t="str">
        <x:v>Typically transient to hours, but repeated appraisal or rumination can prolong the state.</x:v>
      </x:c>
      <x:c r="T56" s="43" t="str">
        <x:v>Frustration rating; error escalation; switching or quitting</x:v>
      </x:c>
      <x:c r="U56" s="43" t="str">
        <x:v>Validated state scales; experience sampling; behavioral expression coding; multimethod assessment</x:v>
      </x:c>
      <x:c r="V56" s="43" t="str">
        <x:v>Moderate</x:v>
      </x:c>
      <x:c r="W56" s="43" t="str">
        <x:v>Emotion labels, intensity, and expression vary across people and cultures; self-report, behavior, and physiology need not converge.</x:v>
      </x:c>
      <x:c r="X56" s="43" t="str">
        <x:v>Moderate</x:v>
      </x:c>
      <x:c r="Y56" s="43" t="str">
        <x:v>Scientifically defensible with substantial supporting literature, while causal identification, construct boundaries, measurement, or transferability remain context dependent. Representative records: SRC181; SRC118.</x:v>
      </x:c>
      <x:c r="Z56" s="43" t="str">
        <x:v>Assigning a universal behavioral direction to an emotion; the same emotion can support different actions under different appraisals.</x:v>
      </x:c>
      <x:c r="AA56" s="43" t="str">
        <x:v>SRC181; SRC118</x:v>
      </x:c>
    </x:row>
    <x:row r="57" ht="72" customHeight="1">
      <x:c r="A57" s="43" t="str">
        <x:v>PSY-053</x:v>
      </x:c>
      <x:c r="B57" s="43" t="str">
        <x:v>Empathic Concern</x:v>
      </x:c>
      <x:c r="C57" s="43" t="str">
        <x:v>Other-oriented compassion; state empathic concern</x:v>
      </x:c>
      <x:c r="D57" s="43" t="str">
        <x:v>Psychological</x:v>
      </x:c>
      <x:c r="E57" s="43" t="str">
        <x:v>Affect &amp; Emotion</x:v>
      </x:c>
      <x:c r="F57" s="43" t="str">
        <x:v>The current intensity of other-oriented feelings of care and concern for a person perceived to be in need.</x:v>
      </x:c>
      <x:c r="G57" s="43" t="str">
        <x:v>Magnitude / level</x:v>
      </x:c>
      <x:c r="H57" s="43" t="str">
        <x:v>Low–high state concern; target-specific rating</x:v>
      </x:c>
      <x:c r="I57" s="43" t="str">
        <x:v>Higher values = stronger other-oriented concern.</x:v>
      </x:c>
      <x:c r="J57" s="43" t="str">
        <x:v>Raises the subjective value of relieving another person's need and can motivate helping.</x:v>
      </x:c>
      <x:c r="K57" s="43" t="str">
        <x:v>Situation appraisal; goal progress; social signals; memory; physiological state; environmental conditions</x:v>
      </x:c>
      <x:c r="L57" s="43" t="str">
        <x:v>Attention allocation; risk appraisal; approach or avoidance; judgment; communication; action readiness</x:v>
      </x:c>
      <x:c r="M57" s="43" t="str">
        <x:v>Emotion intensity, regulation strategy, target, certainty, culture, time pressure, and current goals.</x:v>
      </x:c>
      <x:c r="N57" s="43" t="str">
        <x:v>Emotion Regulation Capacity; Subjective Arousal; Perceived Controllability; Attentional Salience</x:v>
      </x:c>
      <x:c r="O57" s="43" t="str">
        <x:v>High</x:v>
      </x:c>
      <x:c r="P57" s="43" t="str">
        <x:v>High</x:v>
      </x:c>
      <x:c r="Q57" s="43" t="str">
        <x:v>Seconds–Minutes; Minutes–Hours</x:v>
      </x:c>
      <x:c r="R57" s="43" t="str">
        <x:v>Seconds–Minutes</x:v>
      </x:c>
      <x:c r="S57" s="43" t="str">
        <x:v>Typically transient to hours, but repeated appraisal or rumination can prolong the state.</x:v>
      </x:c>
      <x:c r="T57" s="43" t="str">
        <x:v>Concern rating; helping allocation; attention to need</x:v>
      </x:c>
      <x:c r="U57" s="43" t="str">
        <x:v>Validated state scales; experience sampling; behavioral expression coding; multimethod assessment</x:v>
      </x:c>
      <x:c r="V57" s="43" t="str">
        <x:v>Moderate</x:v>
      </x:c>
      <x:c r="W57" s="43" t="str">
        <x:v>Emotion labels, intensity, and expression vary across people and cultures; self-report, behavior, and physiology need not converge.</x:v>
      </x:c>
      <x:c r="X57" s="43" t="str">
        <x:v>Moderate</x:v>
      </x:c>
      <x:c r="Y57" s="43" t="str">
        <x:v>Scientifically defensible with substantial supporting literature, while causal identification, construct boundaries, measurement, or transferability remain context dependent. Representative records: SRC145; SRC182.</x:v>
      </x:c>
      <x:c r="Z57" s="43" t="str">
        <x:v>Assigning a universal behavioral direction to an emotion; the same emotion can support different actions under different appraisals.</x:v>
      </x:c>
      <x:c r="AA57" s="43" t="str">
        <x:v>SRC145; SRC182</x:v>
      </x:c>
    </x:row>
    <x:row r="58" ht="72" customHeight="1">
      <x:c r="A58" s="43" t="str">
        <x:v>PSY-054</x:v>
      </x:c>
      <x:c r="B58" s="43" t="str">
        <x:v>Perceived Stress</x:v>
      </x:c>
      <x:c r="C58" s="43" t="str">
        <x:v>Subjective stress; stress appraisal</x:v>
      </x:c>
      <x:c r="D58" s="43" t="str">
        <x:v>Psychological</x:v>
      </x:c>
      <x:c r="E58" s="43" t="str">
        <x:v>Affect &amp; Emotion</x:v>
      </x:c>
      <x:c r="F58" s="43" t="str">
        <x:v>The degree to which current demands are appraised as unpredictable, uncontrollable, or exceeding available coping resources.</x:v>
      </x:c>
      <x:c r="G58" s="43" t="str">
        <x:v>Magnitude / level</x:v>
      </x:c>
      <x:c r="H58" s="43" t="str">
        <x:v>Low–high perceived stress; repeated state scale</x:v>
      </x:c>
      <x:c r="I58" s="43" t="str">
        <x:v>Higher values = greater perceived demand-resource imbalance.</x:v>
      </x:c>
      <x:c r="J58" s="43" t="str">
        <x:v>Alters attention, coping, inhibition, and persistence through appraisal of overload and control.</x:v>
      </x:c>
      <x:c r="K58" s="43" t="str">
        <x:v>Situation appraisal; goal progress; social signals; memory; physiological state; environmental conditions</x:v>
      </x:c>
      <x:c r="L58" s="43" t="str">
        <x:v>Attention allocation; risk appraisal; approach or avoidance; judgment; communication; action readiness</x:v>
      </x:c>
      <x:c r="M58" s="43" t="str">
        <x:v>Emotion intensity, regulation strategy, target, certainty, culture, time pressure, and current goals.</x:v>
      </x:c>
      <x:c r="N58" s="43" t="str">
        <x:v>Emotion Regulation Capacity; Subjective Arousal; Perceived Controllability; Attentional Salience</x:v>
      </x:c>
      <x:c r="O58" s="43" t="str">
        <x:v>High</x:v>
      </x:c>
      <x:c r="P58" s="43" t="str">
        <x:v>Moderate</x:v>
      </x:c>
      <x:c r="Q58" s="43" t="str">
        <x:v>Minutes–Hours</x:v>
      </x:c>
      <x:c r="R58" s="43" t="str">
        <x:v>Seconds–Minutes</x:v>
      </x:c>
      <x:c r="S58" s="43" t="str">
        <x:v>Usually reversible as cues, resources, or interpretations change; repeated appraisal can stabilize.</x:v>
      </x:c>
      <x:c r="T58" s="43" t="str">
        <x:v>Stress rating; overload report; coping change</x:v>
      </x:c>
      <x:c r="U58" s="43" t="str">
        <x:v>Validated state scales; experience sampling; behavioral expression coding; multimethod assessment</x:v>
      </x:c>
      <x:c r="V58" s="43" t="str">
        <x:v>Moderate</x:v>
      </x:c>
      <x:c r="W58" s="43" t="str">
        <x:v>Emotion labels, intensity, and expression vary across people and cultures; self-report, behavior, and physiology need not converge.</x:v>
      </x:c>
      <x:c r="X58" s="43" t="str">
        <x:v>Strong</x:v>
      </x:c>
      <x:c r="Y58" s="43" t="str">
        <x:v>Supported by established theory, validated measures, and converging review, meta-analytic, experimental, or longitudinal evidence. Magnitude and behavioral direction remain conditional on context. Representative records: SRC146; SRC121.</x:v>
      </x:c>
      <x:c r="Z58" s="43" t="str">
        <x:v>Assigning a universal behavioral direction to an emotion; the same emotion can support different actions under different appraisals.</x:v>
      </x:c>
      <x:c r="AA58" s="43" t="str">
        <x:v>SRC146; SRC121</x:v>
      </x:c>
    </x:row>
    <x:row r="59" ht="72" customHeight="1">
      <x:c r="A59" s="43" t="str">
        <x:v>PSY-055</x:v>
      </x:c>
      <x:c r="B59" s="43" t="str">
        <x:v>Selective Attention Allocation</x:v>
      </x:c>
      <x:c r="C59" s="43" t="str">
        <x:v>Attentional focus; selective attention</x:v>
      </x:c>
      <x:c r="D59" s="43" t="str">
        <x:v>Psychological</x:v>
      </x:c>
      <x:c r="E59" s="43" t="str">
        <x:v>Attention &amp; Cognitive Processing</x:v>
      </x:c>
      <x:c r="F59" s="43" t="str">
        <x:v>The proportion of available attention directed toward a specified stimulus, location, feature, or task.</x:v>
      </x:c>
      <x:c r="G59" s="43" t="str">
        <x:v>Proportion</x:v>
      </x:c>
      <x:c r="H59" s="43" t="str">
        <x:v>0–1 share of attention; dwell time proportion; probe-based bias</x:v>
      </x:c>
      <x:c r="I59" s="43" t="str">
        <x:v>Higher values = greater attention allocated to the specified target.</x:v>
      </x:c>
      <x:c r="J59" s="43" t="str">
        <x:v>Changes which information is encoded, elaborated, and available for downstream appraisal and choice.</x:v>
      </x:c>
      <x:c r="K59" s="43" t="str">
        <x:v>Task demands; goals; stimulus features; information density; fatigue; affective arousal</x:v>
      </x:c>
      <x:c r="L59" s="43" t="str">
        <x:v>Encoding; recall; appraisal; judgment quality; learning; action selection</x:v>
      </x:c>
      <x:c r="M59" s="43" t="str">
        <x:v>Expertise, task complexity, time pressure, fatigue, motivation, modality, and environmental distraction.</x:v>
      </x:c>
      <x:c r="N59" s="43" t="str">
        <x:v>Working Memory Availability; Cognitive Load; Domain Knowledge; Attentional Control Capacity</x:v>
      </x:c>
      <x:c r="O59" s="43" t="str">
        <x:v>Moderate</x:v>
      </x:c>
      <x:c r="P59" s="43" t="str">
        <x:v>High</x:v>
      </x:c>
      <x:c r="Q59" s="43" t="str">
        <x:v>Seconds–Minutes</x:v>
      </x:c>
      <x:c r="R59" s="43" t="str">
        <x:v>Seconds–Minutes</x:v>
      </x:c>
      <x:c r="S59" s="43" t="str">
        <x:v>Usually task-bound and rapidly reversible, although learning and fatigue can produce longer effects.</x:v>
      </x:c>
      <x:c r="T59" s="43" t="str">
        <x:v>Dwell time; probe performance; recall; gaze allocation</x:v>
      </x:c>
      <x:c r="U59" s="43" t="str">
        <x:v>Cognitive tasks; eye tracking or attention probes; workload scales; response-time and accuracy measures</x:v>
      </x:c>
      <x:c r="V59" s="43" t="str">
        <x:v>Moderate</x:v>
      </x:c>
      <x:c r="W59" s="43" t="str">
        <x:v>Task measures often have low cross-task reliability and can reflect strategy, motivation, speed-accuracy tradeoffs, or sensory limits.</x:v>
      </x:c>
      <x:c r="X59" s="43" t="str">
        <x:v>Strong</x:v>
      </x:c>
      <x:c r="Y59" s="43" t="str">
        <x:v>Supported by established theory, validated measures, and converging review, meta-analytic, experimental, or longitudinal evidence. Magnitude and behavioral direction remain conditional on context. Representative records: SRC148; SRC109.</x:v>
      </x:c>
      <x:c r="Z59" s="43" t="str">
        <x:v>Treating a single laboratory task or response-time difference as a pure measure of a broad cognitive construct.</x:v>
      </x:c>
      <x:c r="AA59" s="43" t="str">
        <x:v>SRC148; SRC109</x:v>
      </x:c>
    </x:row>
    <x:row r="60" ht="72" customHeight="1">
      <x:c r="A60" s="43" t="str">
        <x:v>PSY-056</x:v>
      </x:c>
      <x:c r="B60" s="43" t="str">
        <x:v>Attentional Salience</x:v>
      </x:c>
      <x:c r="C60" s="43" t="str">
        <x:v>Psychological prominence; attention-capturing salience</x:v>
      </x:c>
      <x:c r="D60" s="43" t="str">
        <x:v>Psychological</x:v>
      </x:c>
      <x:c r="E60" s="43" t="str">
        <x:v>Attention &amp; Cognitive Processing</x:v>
      </x:c>
      <x:c r="F60" s="43" t="str">
        <x:v>The degree to which a represented stimulus or feature stands out and attracts priority in attention.</x:v>
      </x:c>
      <x:c r="G60" s="43" t="str">
        <x:v>Unipolar continuous</x:v>
      </x:c>
      <x:c r="H60" s="43" t="str">
        <x:v>Low–high subjective salience; attentional capture index</x:v>
      </x:c>
      <x:c r="I60" s="43" t="str">
        <x:v>Higher values = greater psychological prominence and capture priority.</x:v>
      </x:c>
      <x:c r="J60" s="43" t="str">
        <x:v>Raises the probability and speed of attention and increases the weight of associated information.</x:v>
      </x:c>
      <x:c r="K60" s="43" t="str">
        <x:v>Task demands; goals; stimulus features; information density; fatigue; affective arousal</x:v>
      </x:c>
      <x:c r="L60" s="43" t="str">
        <x:v>Encoding; recall; appraisal; judgment quality; learning; action selection</x:v>
      </x:c>
      <x:c r="M60" s="43" t="str">
        <x:v>Expertise, task complexity, time pressure, fatigue, motivation, modality, and environmental distraction.</x:v>
      </x:c>
      <x:c r="N60" s="43" t="str">
        <x:v>Working Memory Availability; Cognitive Load; Domain Knowledge; Attentional Control Capacity</x:v>
      </x:c>
      <x:c r="O60" s="43" t="str">
        <x:v>Moderate</x:v>
      </x:c>
      <x:c r="P60" s="43" t="str">
        <x:v>High</x:v>
      </x:c>
      <x:c r="Q60" s="43" t="str">
        <x:v>Seconds–Minutes</x:v>
      </x:c>
      <x:c r="R60" s="43" t="str">
        <x:v>Seconds–Minutes</x:v>
      </x:c>
      <x:c r="S60" s="43" t="str">
        <x:v>Usually task-bound and rapidly reversible, although learning and fatigue can produce longer effects.</x:v>
      </x:c>
      <x:c r="T60" s="43" t="str">
        <x:v>Detection speed; gaze capture; salience rating</x:v>
      </x:c>
      <x:c r="U60" s="43" t="str">
        <x:v>Cognitive tasks; eye tracking or attention probes; workload scales; response-time and accuracy measures</x:v>
      </x:c>
      <x:c r="V60" s="43" t="str">
        <x:v>Moderate</x:v>
      </x:c>
      <x:c r="W60" s="43" t="str">
        <x:v>Task measures often have low cross-task reliability and can reflect strategy, motivation, speed-accuracy tradeoffs, or sensory limits.</x:v>
      </x:c>
      <x:c r="X60" s="43" t="str">
        <x:v>Moderate</x:v>
      </x:c>
      <x:c r="Y60" s="43" t="str">
        <x:v>Scientifically defensible with substantial supporting literature, while causal identification, construct boundaries, measurement, or transferability remain context dependent. Representative records: SRC148; SRC125.</x:v>
      </x:c>
      <x:c r="Z60" s="43" t="str">
        <x:v>Treating a single laboratory task or response-time difference as a pure measure of a broad cognitive construct.</x:v>
      </x:c>
      <x:c r="AA60" s="43" t="str">
        <x:v>SRC148; SRC125</x:v>
      </x:c>
    </x:row>
    <x:row r="61" ht="72" customHeight="1">
      <x:c r="A61" s="43" t="str">
        <x:v>PSY-057</x:v>
      </x:c>
      <x:c r="B61" s="43" t="str">
        <x:v>Cognitive Load</x:v>
      </x:c>
      <x:c r="C61" s="43" t="str">
        <x:v>Mental workload; processing demand</x:v>
      </x:c>
      <x:c r="D61" s="43" t="str">
        <x:v>Psychological</x:v>
      </x:c>
      <x:c r="E61" s="43" t="str">
        <x:v>Attention &amp; Cognitive Processing</x:v>
      </x:c>
      <x:c r="F61" s="43" t="str">
        <x:v>The amount of limited cognitive-processing capacity currently occupied by task demands and concurrent mental operations.</x:v>
      </x:c>
      <x:c r="G61" s="43" t="str">
        <x:v>Magnitude / level</x:v>
      </x:c>
      <x:c r="H61" s="43" t="str">
        <x:v>Low–high workload; task-load manipulation; performance-derived estimate</x:v>
      </x:c>
      <x:c r="I61" s="43" t="str">
        <x:v>Higher values = more occupied cognitive capacity.</x:v>
      </x:c>
      <x:c r="J61" s="43" t="str">
        <x:v>Reduces resources available for elaboration, working memory, inhibition, and complex choice.</x:v>
      </x:c>
      <x:c r="K61" s="43" t="str">
        <x:v>Task demands; goals; stimulus features; information density; fatigue; affective arousal</x:v>
      </x:c>
      <x:c r="L61" s="43" t="str">
        <x:v>Encoding; recall; appraisal; judgment quality; learning; action selection</x:v>
      </x:c>
      <x:c r="M61" s="43" t="str">
        <x:v>Expertise, task complexity, time pressure, fatigue, motivation, modality, and environmental distraction.</x:v>
      </x:c>
      <x:c r="N61" s="43" t="str">
        <x:v>Working Memory Availability; Cognitive Load; Domain Knowledge; Attentional Control Capacity</x:v>
      </x:c>
      <x:c r="O61" s="43" t="str">
        <x:v>Moderate</x:v>
      </x:c>
      <x:c r="P61" s="43" t="str">
        <x:v>High</x:v>
      </x:c>
      <x:c r="Q61" s="43" t="str">
        <x:v>Seconds–Minutes</x:v>
      </x:c>
      <x:c r="R61" s="43" t="str">
        <x:v>Seconds–Minutes</x:v>
      </x:c>
      <x:c r="S61" s="43" t="str">
        <x:v>Usually task-bound and rapidly reversible, although learning and fatigue can produce longer effects.</x:v>
      </x:c>
      <x:c r="T61" s="43" t="str">
        <x:v>Dual-task cost; workload rating; error/latency increase</x:v>
      </x:c>
      <x:c r="U61" s="43" t="str">
        <x:v>Cognitive tasks; eye tracking or attention probes; workload scales; response-time and accuracy measures</x:v>
      </x:c>
      <x:c r="V61" s="43" t="str">
        <x:v>Moderate</x:v>
      </x:c>
      <x:c r="W61" s="43" t="str">
        <x:v>Task measures often have low cross-task reliability and can reflect strategy, motivation, speed-accuracy tradeoffs, or sensory limits.</x:v>
      </x:c>
      <x:c r="X61" s="43" t="str">
        <x:v>Strong</x:v>
      </x:c>
      <x:c r="Y61" s="43" t="str">
        <x:v>Supported by established theory, validated measures, and converging review, meta-analytic, experimental, or longitudinal evidence. Magnitude and behavioral direction remain conditional on context. Representative records: SRC149; SRC147.</x:v>
      </x:c>
      <x:c r="Z61" s="43" t="str">
        <x:v>Treating a single laboratory task or response-time difference as a pure measure of a broad cognitive construct.</x:v>
      </x:c>
      <x:c r="AA61" s="43" t="str">
        <x:v>SRC149; SRC147</x:v>
      </x:c>
    </x:row>
    <x:row r="62" ht="72" customHeight="1">
      <x:c r="A62" s="43" t="str">
        <x:v>PSY-058</x:v>
      </x:c>
      <x:c r="B62" s="43" t="str">
        <x:v>Working Memory Availability</x:v>
      </x:c>
      <x:c r="C62" s="43" t="str">
        <x:v>Available working-memory capacity; active-memory resources</x:v>
      </x:c>
      <x:c r="D62" s="43" t="str">
        <x:v>Psychological</x:v>
      </x:c>
      <x:c r="E62" s="43" t="str">
        <x:v>Attention &amp; Cognitive Processing</x:v>
      </x:c>
      <x:c r="F62" s="43" t="str">
        <x:v>The amount of working-memory capacity currently available for maintaining and manipulating task-relevant information.</x:v>
      </x:c>
      <x:c r="G62" s="43" t="str">
        <x:v>Magnitude / level</x:v>
      </x:c>
      <x:c r="H62" s="43" t="str">
        <x:v>Low–high available capacity; residual span/performance estimate</x:v>
      </x:c>
      <x:c r="I62" s="43" t="str">
        <x:v>Higher values = more capacity available for current processing.</x:v>
      </x:c>
      <x:c r="J62" s="43" t="str">
        <x:v>Supports integration, planning, inhibition, and resistance to distraction.</x:v>
      </x:c>
      <x:c r="K62" s="43" t="str">
        <x:v>Task demands; goals; stimulus features; information density; fatigue; affective arousal</x:v>
      </x:c>
      <x:c r="L62" s="43" t="str">
        <x:v>Encoding; recall; appraisal; judgment quality; learning; action selection</x:v>
      </x:c>
      <x:c r="M62" s="43" t="str">
        <x:v>Expertise, task complexity, time pressure, fatigue, motivation, modality, and environmental distraction.</x:v>
      </x:c>
      <x:c r="N62" s="43" t="str">
        <x:v>Working Memory Availability; Cognitive Load; Domain Knowledge; Attentional Control Capacity</x:v>
      </x:c>
      <x:c r="O62" s="43" t="str">
        <x:v>Moderate</x:v>
      </x:c>
      <x:c r="P62" s="43" t="str">
        <x:v>High</x:v>
      </x:c>
      <x:c r="Q62" s="43" t="str">
        <x:v>Seconds–Minutes</x:v>
      </x:c>
      <x:c r="R62" s="43" t="str">
        <x:v>Seconds–Minutes</x:v>
      </x:c>
      <x:c r="S62" s="43" t="str">
        <x:v>Usually task-bound and rapidly reversible, although learning and fatigue can produce longer effects.</x:v>
      </x:c>
      <x:c r="T62" s="43" t="str">
        <x:v>Span performance; n-back or complex-task accuracy; interference cost</x:v>
      </x:c>
      <x:c r="U62" s="43" t="str">
        <x:v>Cognitive tasks; eye tracking or attention probes; workload scales; response-time and accuracy measures</x:v>
      </x:c>
      <x:c r="V62" s="43" t="str">
        <x:v>Moderate</x:v>
      </x:c>
      <x:c r="W62" s="43" t="str">
        <x:v>Task measures often have low cross-task reliability and can reflect strategy, motivation, speed-accuracy tradeoffs, or sensory limits.</x:v>
      </x:c>
      <x:c r="X62" s="43" t="str">
        <x:v>Strong</x:v>
      </x:c>
      <x:c r="Y62" s="43" t="str">
        <x:v>Supported by established theory, validated measures, and converging review, meta-analytic, experimental, or longitudinal evidence. Magnitude and behavioral direction remain conditional on context. Representative records: SRC147; SRC148; SRC149.</x:v>
      </x:c>
      <x:c r="Z62" s="43" t="str">
        <x:v>Treating a single laboratory task or response-time difference as a pure measure of a broad cognitive construct.</x:v>
      </x:c>
      <x:c r="AA62" s="43" t="str">
        <x:v>SRC147; SRC148; SRC149</x:v>
      </x:c>
    </x:row>
    <x:row r="63" ht="72" customHeight="1">
      <x:c r="A63" s="43" t="str">
        <x:v>PSY-059</x:v>
      </x:c>
      <x:c r="B63" s="43" t="str">
        <x:v>Elaboration Depth</x:v>
      </x:c>
      <x:c r="C63" s="43" t="str">
        <x:v>Message elaboration; depth of processing</x:v>
      </x:c>
      <x:c r="D63" s="43" t="str">
        <x:v>Psychological</x:v>
      </x:c>
      <x:c r="E63" s="43" t="str">
        <x:v>Attention &amp; Cognitive Processing</x:v>
      </x:c>
      <x:c r="F63" s="43" t="str">
        <x:v>The degree of effortful, issue-relevant cognitive processing applied to information or a decision.</x:v>
      </x:c>
      <x:c r="G63" s="43" t="str">
        <x:v>Unipolar continuous</x:v>
      </x:c>
      <x:c r="H63" s="43" t="str">
        <x:v>Low–high elaboration; thought count/quality; processing-time index</x:v>
      </x:c>
      <x:c r="I63" s="43" t="str">
        <x:v>Higher values = deeper and more effortful issue-relevant processing.</x:v>
      </x:c>
      <x:c r="J63" s="43" t="str">
        <x:v>Increases integration with prior knowledge and can produce more durable, confidence-linked judgments.</x:v>
      </x:c>
      <x:c r="K63" s="43" t="str">
        <x:v>Task demands; goals; stimulus features; information density; fatigue; affective arousal</x:v>
      </x:c>
      <x:c r="L63" s="43" t="str">
        <x:v>Encoding; recall; appraisal; judgment quality; learning; action selection</x:v>
      </x:c>
      <x:c r="M63" s="43" t="str">
        <x:v>Expertise, task complexity, time pressure, fatigue, motivation, modality, and environmental distraction.</x:v>
      </x:c>
      <x:c r="N63" s="43" t="str">
        <x:v>Working Memory Availability; Cognitive Load; Domain Knowledge; Attentional Control Capacity</x:v>
      </x:c>
      <x:c r="O63" s="43" t="str">
        <x:v>Moderate</x:v>
      </x:c>
      <x:c r="P63" s="43" t="str">
        <x:v>High</x:v>
      </x:c>
      <x:c r="Q63" s="43" t="str">
        <x:v>Seconds–Minutes</x:v>
      </x:c>
      <x:c r="R63" s="43" t="str">
        <x:v>Seconds–Minutes</x:v>
      </x:c>
      <x:c r="S63" s="43" t="str">
        <x:v>Usually task-bound and rapidly reversible, although learning and fatigue can produce longer effects.</x:v>
      </x:c>
      <x:c r="T63" s="43" t="str">
        <x:v>Thought-listing; argument recall; processing time; need-consistent cognition</x:v>
      </x:c>
      <x:c r="U63" s="43" t="str">
        <x:v>Cognitive tasks; eye tracking or attention probes; workload scales; response-time and accuracy measures</x:v>
      </x:c>
      <x:c r="V63" s="43" t="str">
        <x:v>Moderate</x:v>
      </x:c>
      <x:c r="W63" s="43" t="str">
        <x:v>Task measures often have low cross-task reliability and can reflect strategy, motivation, speed-accuracy tradeoffs, or sensory limits.</x:v>
      </x:c>
      <x:c r="X63" s="43" t="str">
        <x:v>Strong</x:v>
      </x:c>
      <x:c r="Y63" s="43" t="str">
        <x:v>Supported by established theory, validated measures, and converging review, meta-analytic, experimental, or longitudinal evidence. Magnitude and behavioral direction remain conditional on context. Representative records: SRC117; SRC162.</x:v>
      </x:c>
      <x:c r="Z63" s="43" t="str">
        <x:v>Treating a single laboratory task or response-time difference as a pure measure of a broad cognitive construct.</x:v>
      </x:c>
      <x:c r="AA63" s="43" t="str">
        <x:v>SRC117; SRC162</x:v>
      </x:c>
    </x:row>
    <x:row r="64" ht="72" customHeight="1">
      <x:c r="A64" s="43" t="str">
        <x:v>PSY-060</x:v>
      </x:c>
      <x:c r="B64" s="43" t="str">
        <x:v>Construal Frame</x:v>
      </x:c>
      <x:c r="C64" s="43" t="str">
        <x:v>Framing-dependent construal; interpretive frame</x:v>
      </x:c>
      <x:c r="D64" s="43" t="str">
        <x:v>Psychological</x:v>
      </x:c>
      <x:c r="E64" s="43" t="str">
        <x:v>Attention &amp; Cognitive Processing</x:v>
      </x:c>
      <x:c r="F64" s="43" t="str">
        <x:v>The currently active representation that organizes which aspects, comparisons, or meanings of a situation are foregrounded.</x:v>
      </x:c>
      <x:c r="G64" s="43" t="str">
        <x:v>Nominal categorical</x:v>
      </x:c>
      <x:c r="H64" s="43" t="str">
        <x:v>Frame category; gain/loss; concrete/abstract; diagnostic coding</x:v>
      </x:c>
      <x:c r="I64" s="43" t="str">
        <x:v>Categories identify alternative construals and have no inherent universal ordering.</x:v>
      </x:c>
      <x:c r="J64" s="43" t="str">
        <x:v>Changes which attributes and reference comparisons enter appraisal and valuation.</x:v>
      </x:c>
      <x:c r="K64" s="43" t="str">
        <x:v>Task demands; goals; stimulus features; information density; fatigue; affective arousal</x:v>
      </x:c>
      <x:c r="L64" s="43" t="str">
        <x:v>Encoding; recall; appraisal; judgment quality; learning; action selection</x:v>
      </x:c>
      <x:c r="M64" s="43" t="str">
        <x:v>Expertise, task complexity, time pressure, fatigue, motivation, modality, and environmental distraction.</x:v>
      </x:c>
      <x:c r="N64" s="43" t="str">
        <x:v>Working Memory Availability; Cognitive Load; Domain Knowledge; Attentional Control Capacity</x:v>
      </x:c>
      <x:c r="O64" s="43" t="str">
        <x:v>Moderate</x:v>
      </x:c>
      <x:c r="P64" s="43" t="str">
        <x:v>High</x:v>
      </x:c>
      <x:c r="Q64" s="43" t="str">
        <x:v>Seconds–Minutes</x:v>
      </x:c>
      <x:c r="R64" s="43" t="str">
        <x:v>Seconds–Minutes</x:v>
      </x:c>
      <x:c r="S64" s="43" t="str">
        <x:v>Usually task-bound and rapidly reversible, although learning and fatigue can produce longer effects.</x:v>
      </x:c>
      <x:c r="T64" s="43" t="str">
        <x:v>Frame endorsement; language coding; attribute weighting</x:v>
      </x:c>
      <x:c r="U64" s="43" t="str">
        <x:v>Cognitive tasks; eye tracking or attention probes; workload scales; response-time and accuracy measures</x:v>
      </x:c>
      <x:c r="V64" s="43" t="str">
        <x:v>Moderate</x:v>
      </x:c>
      <x:c r="W64" s="43" t="str">
        <x:v>Task measures often have low cross-task reliability and can reflect strategy, motivation, speed-accuracy tradeoffs, or sensory limits.</x:v>
      </x:c>
      <x:c r="X64" s="43" t="str">
        <x:v>Strong</x:v>
      </x:c>
      <x:c r="Y64" s="43" t="str">
        <x:v>Supported by established theory, validated measures, and converging review, meta-analytic, experimental, or longitudinal evidence. Magnitude and behavioral direction remain conditional on context. Representative records: SRC113; SRC183.</x:v>
      </x:c>
      <x:c r="Z64" s="43" t="str">
        <x:v>Treating a single laboratory task or response-time difference as a pure measure of a broad cognitive construct.</x:v>
      </x:c>
      <x:c r="AA64" s="43" t="str">
        <x:v>SRC113; SRC183</x:v>
      </x:c>
    </x:row>
    <x:row r="65" ht="72" customHeight="1">
      <x:c r="A65" s="43" t="str">
        <x:v>PSY-061</x:v>
      </x:c>
      <x:c r="B65" s="43" t="str">
        <x:v>Processing Fluency</x:v>
      </x:c>
      <x:c r="C65" s="43" t="str">
        <x:v>Cognitive ease; subjective processing ease</x:v>
      </x:c>
      <x:c r="D65" s="43" t="str">
        <x:v>Psychological</x:v>
      </x:c>
      <x:c r="E65" s="43" t="str">
        <x:v>Attention &amp; Cognitive Processing</x:v>
      </x:c>
      <x:c r="F65" s="43" t="str">
        <x:v>The experienced ease with which a stimulus or thought is perceived, retrieved, or processed.</x:v>
      </x:c>
      <x:c r="G65" s="43" t="str">
        <x:v>Unipolar continuous</x:v>
      </x:c>
      <x:c r="H65" s="43" t="str">
        <x:v>Low–high ease rating; response latency or disfluency manipulation</x:v>
      </x:c>
      <x:c r="I65" s="43" t="str">
        <x:v>Higher values = greater subjective ease of processing.</x:v>
      </x:c>
      <x:c r="J65" s="43" t="str">
        <x:v>Functions as a metacognitive cue that can affect familiarity, truth, confidence, liking, and effort allocation.</x:v>
      </x:c>
      <x:c r="K65" s="43" t="str">
        <x:v>Task demands; goals; stimulus features; information density; fatigue; affective arousal</x:v>
      </x:c>
      <x:c r="L65" s="43" t="str">
        <x:v>Encoding; recall; appraisal; judgment quality; learning; action selection</x:v>
      </x:c>
      <x:c r="M65" s="43" t="str">
        <x:v>Expertise, task complexity, time pressure, fatigue, motivation, modality, and environmental distraction.</x:v>
      </x:c>
      <x:c r="N65" s="43" t="str">
        <x:v>Working Memory Availability; Cognitive Load; Domain Knowledge; Attentional Control Capacity</x:v>
      </x:c>
      <x:c r="O65" s="43" t="str">
        <x:v>Moderate</x:v>
      </x:c>
      <x:c r="P65" s="43" t="str">
        <x:v>High</x:v>
      </x:c>
      <x:c r="Q65" s="43" t="str">
        <x:v>Seconds–Minutes</x:v>
      </x:c>
      <x:c r="R65" s="43" t="str">
        <x:v>Seconds–Minutes</x:v>
      </x:c>
      <x:c r="S65" s="43" t="str">
        <x:v>Usually task-bound and rapidly reversible, although learning and fatigue can produce longer effects.</x:v>
      </x:c>
      <x:c r="T65" s="43" t="str">
        <x:v>Ease rating; response time; subjective familiarity; effort report</x:v>
      </x:c>
      <x:c r="U65" s="43" t="str">
        <x:v>Cognitive tasks; eye tracking or attention probes; workload scales; response-time and accuracy measures</x:v>
      </x:c>
      <x:c r="V65" s="43" t="str">
        <x:v>Moderate</x:v>
      </x:c>
      <x:c r="W65" s="43" t="str">
        <x:v>Task measures often have low cross-task reliability and can reflect strategy, motivation, speed-accuracy tradeoffs, or sensory limits.</x:v>
      </x:c>
      <x:c r="X65" s="43" t="str">
        <x:v>Strong</x:v>
      </x:c>
      <x:c r="Y65" s="43" t="str">
        <x:v>Supported by established theory, validated measures, and converging review, meta-analytic, experimental, or longitudinal evidence. Magnitude and behavioral direction remain conditional on context. Representative records: SRC125; SRC171.</x:v>
      </x:c>
      <x:c r="Z65" s="43" t="str">
        <x:v>Treating a single laboratory task or response-time difference as a pure measure of a broad cognitive construct.</x:v>
      </x:c>
      <x:c r="AA65" s="43" t="str">
        <x:v>SRC125; SRC171</x:v>
      </x:c>
    </x:row>
    <x:row r="66" ht="72" customHeight="1">
      <x:c r="A66" s="43" t="str">
        <x:v>PSY-062</x:v>
      </x:c>
      <x:c r="B66" s="43" t="str">
        <x:v>Cognitive Flexibility</x:v>
      </x:c>
      <x:c r="C66" s="43" t="str">
        <x:v>Set-shifting flexibility; adaptive cognitive switching</x:v>
      </x:c>
      <x:c r="D66" s="43" t="str">
        <x:v>Psychological</x:v>
      </x:c>
      <x:c r="E66" s="43" t="str">
        <x:v>Attention &amp; Cognitive Processing</x:v>
      </x:c>
      <x:c r="F66" s="43" t="str">
        <x:v>The capacity currently available to shift perspectives, rules, or strategies in response to changing demands.</x:v>
      </x:c>
      <x:c r="G66" s="43" t="str">
        <x:v>Magnitude / level</x:v>
      </x:c>
      <x:c r="H66" s="43" t="str">
        <x:v>Low–high flexibility; switch cost; validated flexibility measure</x:v>
      </x:c>
      <x:c r="I66" s="43" t="str">
        <x:v>Higher values = greater ability to adapt cognitive set or strategy.</x:v>
      </x:c>
      <x:c r="J66" s="43" t="str">
        <x:v>Supports updating, perspective change, and strategy switching when the environment changes.</x:v>
      </x:c>
      <x:c r="K66" s="43" t="str">
        <x:v>Task demands; goals; stimulus features; information density; fatigue; affective arousal</x:v>
      </x:c>
      <x:c r="L66" s="43" t="str">
        <x:v>Encoding; recall; appraisal; judgment quality; learning; action selection</x:v>
      </x:c>
      <x:c r="M66" s="43" t="str">
        <x:v>Expertise, task complexity, time pressure, fatigue, motivation, modality, and environmental distraction.</x:v>
      </x:c>
      <x:c r="N66" s="43" t="str">
        <x:v>Working Memory Availability; Cognitive Load; Domain Knowledge; Attentional Control Capacity</x:v>
      </x:c>
      <x:c r="O66" s="43" t="str">
        <x:v>Moderate</x:v>
      </x:c>
      <x:c r="P66" s="43" t="str">
        <x:v>Moderate</x:v>
      </x:c>
      <x:c r="Q66" s="43" t="str">
        <x:v>Hours–Days; Weeks–Months</x:v>
      </x:c>
      <x:c r="R66" s="43" t="str">
        <x:v>Seconds–Minutes</x:v>
      </x:c>
      <x:c r="S66" s="43" t="str">
        <x:v>Momentary deployment recovers with rest or context change; trained capacity may persist longer.</x:v>
      </x:c>
      <x:c r="T66" s="43" t="str">
        <x:v>Switch cost; perseverative errors; flexibility ratings</x:v>
      </x:c>
      <x:c r="U66" s="43" t="str">
        <x:v>Cognitive tasks; eye tracking or attention probes; workload scales; response-time and accuracy measures</x:v>
      </x:c>
      <x:c r="V66" s="43" t="str">
        <x:v>Moderate</x:v>
      </x:c>
      <x:c r="W66" s="43" t="str">
        <x:v>Task measures often have low cross-task reliability and can reflect strategy, motivation, speed-accuracy tradeoffs, or sensory limits.</x:v>
      </x:c>
      <x:c r="X66" s="43" t="str">
        <x:v>Moderate</x:v>
      </x:c>
      <x:c r="Y66" s="43" t="str">
        <x:v>Scientifically defensible with substantial supporting literature, while causal identification, construct boundaries, measurement, or transferability remain context dependent. Representative records: SRC150; SRC149.</x:v>
      </x:c>
      <x:c r="Z66" s="43" t="str">
        <x:v>Treating a single laboratory task or response-time difference as a pure measure of a broad cognitive construct.</x:v>
      </x:c>
      <x:c r="AA66" s="43" t="str">
        <x:v>SRC150; SRC149</x:v>
      </x:c>
    </x:row>
    <x:row r="67" ht="72" customHeight="1">
      <x:c r="A67" s="43" t="str">
        <x:v>PSY-063</x:v>
      </x:c>
      <x:c r="B67" s="43" t="str">
        <x:v>Causal Belief Strength</x:v>
      </x:c>
      <x:c r="C67" s="43" t="str">
        <x:v>Causal expectancy; action–cause belief</x:v>
      </x:c>
      <x:c r="D67" s="43" t="str">
        <x:v>Psychological</x:v>
      </x:c>
      <x:c r="E67" s="43" t="str">
        <x:v>Knowledge, Memory &amp; Mental Representation</x:v>
      </x:c>
      <x:c r="F67" s="43" t="str">
        <x:v>The confidence assigned to a specified proposition that one factor causally influences another.</x:v>
      </x:c>
      <x:c r="G67" s="43" t="str">
        <x:v>Unipolar continuous</x:v>
      </x:c>
      <x:c r="H67" s="43" t="str">
        <x:v>0–1 causal probability; low–high causal confidence</x:v>
      </x:c>
      <x:c r="I67" s="43" t="str">
        <x:v>Higher values = stronger belief in the specified causal relation.</x:v>
      </x:c>
      <x:c r="J67" s="43" t="str">
        <x:v>Guides prediction, responsibility attribution, and selection of actions believed to have leverage.</x:v>
      </x:c>
      <x:c r="K67" s="43" t="str">
        <x:v>Learning; repeated exposure; expertise; retrieval cues; information quality; prior beliefs</x:v>
      </x:c>
      <x:c r="L67" s="43" t="str">
        <x:v>Prediction; interpretation; planning; confidence; causal attribution; choice</x:v>
      </x:c>
      <x:c r="M67" s="43" t="str">
        <x:v>Cue match, recency, interference, expertise, motivation, stress, and context congruence.</x:v>
      </x:c>
      <x:c r="N67" s="43" t="str">
        <x:v>Processing Fluency; Mental Model Coherence; Metacognitive Confidence; Prior-Belief Congruence</x:v>
      </x:c>
      <x:c r="O67" s="43" t="str">
        <x:v>Moderate</x:v>
      </x:c>
      <x:c r="P67" s="43" t="str">
        <x:v>Low</x:v>
      </x:c>
      <x:c r="Q67" s="43" t="str">
        <x:v>Days–Weeks</x:v>
      </x:c>
      <x:c r="R67" s="43" t="str">
        <x:v>Minutes–Hours</x:v>
      </x:c>
      <x:c r="S67" s="43" t="str">
        <x:v>Often persists for days to months; updating depends on counterevidence and confidence.</x:v>
      </x:c>
      <x:c r="T67" s="43" t="str">
        <x:v>Causal ratings; intervention choice; causal-map edge weight</x:v>
      </x:c>
      <x:c r="U67" s="43" t="str">
        <x:v>Knowledge tests; recall/recognition tasks; concept mapping; confidence ratings; structured elicitation</x:v>
      </x:c>
      <x:c r="V67" s="43" t="str">
        <x:v>Moderate</x:v>
      </x:c>
      <x:c r="W67" s="43" t="str">
        <x:v>Accessible or familiar information may be inaccurate; observed recall depends on cues and does not fully reveal stored representation.</x:v>
      </x:c>
      <x:c r="X67" s="43" t="str">
        <x:v>Moderate</x:v>
      </x:c>
      <x:c r="Y67" s="43" t="str">
        <x:v>Scientifically defensible with substantial supporting literature, while causal identification, construct boundaries, measurement, or transferability remain context dependent. Representative records: SRC151; SRC109.</x:v>
      </x:c>
      <x:c r="Z67" s="43" t="str">
        <x:v>Equating familiarity, accessibility, confidence, and accuracy, or treating a mental model as an objective system description.</x:v>
      </x:c>
      <x:c r="AA67" s="43" t="str">
        <x:v>SRC151; SRC109</x:v>
      </x:c>
    </x:row>
    <x:row r="68" ht="72" customHeight="1">
      <x:c r="A68" s="43" t="str">
        <x:v>PSY-064</x:v>
      </x:c>
      <x:c r="B68" s="43" t="str">
        <x:v>Mental Model Coherence</x:v>
      </x:c>
      <x:c r="C68" s="43" t="str">
        <x:v>Mental-model consistency; model integration</x:v>
      </x:c>
      <x:c r="D68" s="43" t="str">
        <x:v>Psychological</x:v>
      </x:c>
      <x:c r="E68" s="43" t="str">
        <x:v>Knowledge, Memory &amp; Mental Representation</x:v>
      </x:c>
      <x:c r="F68" s="43" t="str">
        <x:v>The degree to which a person's internal representation of a situation forms a connected, noncontradictory account that supports inference.</x:v>
      </x:c>
      <x:c r="G68" s="43" t="str">
        <x:v>Magnitude / level</x:v>
      </x:c>
      <x:c r="H68" s="43" t="str">
        <x:v>Low–high coherence; concept-map consistency; model-fit score</x:v>
      </x:c>
      <x:c r="I68" s="43" t="str">
        <x:v>Higher values = more internally coherent representation.</x:v>
      </x:c>
      <x:c r="J68" s="43" t="str">
        <x:v>Supports prediction and planning by permitting consistent simulation of relationships and outcomes.</x:v>
      </x:c>
      <x:c r="K68" s="43" t="str">
        <x:v>Learning; repeated exposure; expertise; retrieval cues; information quality; prior beliefs</x:v>
      </x:c>
      <x:c r="L68" s="43" t="str">
        <x:v>Prediction; interpretation; planning; confidence; causal attribution; choice</x:v>
      </x:c>
      <x:c r="M68" s="43" t="str">
        <x:v>Cue match, recency, interference, expertise, motivation, stress, and context congruence.</x:v>
      </x:c>
      <x:c r="N68" s="43" t="str">
        <x:v>Processing Fluency; Mental Model Coherence; Metacognitive Confidence; Prior-Belief Congruence</x:v>
      </x:c>
      <x:c r="O68" s="43" t="str">
        <x:v>Moderate</x:v>
      </x:c>
      <x:c r="P68" s="43" t="str">
        <x:v>Low</x:v>
      </x:c>
      <x:c r="Q68" s="43" t="str">
        <x:v>Weeks–Months</x:v>
      </x:c>
      <x:c r="R68" s="43" t="str">
        <x:v>Minutes–Hours</x:v>
      </x:c>
      <x:c r="S68" s="43" t="str">
        <x:v>Often durable; accessibility and confidence can change faster than underlying knowledge.</x:v>
      </x:c>
      <x:c r="T68" s="43" t="str">
        <x:v>Concept-map structure; inference consistency; explanation coherence</x:v>
      </x:c>
      <x:c r="U68" s="43" t="str">
        <x:v>Knowledge tests; recall/recognition tasks; concept mapping; confidence ratings; structured elicitation</x:v>
      </x:c>
      <x:c r="V68" s="43" t="str">
        <x:v>Moderate</x:v>
      </x:c>
      <x:c r="W68" s="43" t="str">
        <x:v>Accessible or familiar information may be inaccurate; observed recall depends on cues and does not fully reveal stored representation.</x:v>
      </x:c>
      <x:c r="X68" s="43" t="str">
        <x:v>Moderate</x:v>
      </x:c>
      <x:c r="Y68" s="43" t="str">
        <x:v>Scientifically defensible with substantial supporting literature, while causal identification, construct boundaries, measurement, or transferability remain context dependent. Representative records: SRC151; SRC109.</x:v>
      </x:c>
      <x:c r="Z68" s="43" t="str">
        <x:v>Equating familiarity, accessibility, confidence, and accuracy, or treating a mental model as an objective system description.</x:v>
      </x:c>
      <x:c r="AA68" s="43" t="str">
        <x:v>SRC151; SRC109</x:v>
      </x:c>
    </x:row>
    <x:row r="69" ht="72" customHeight="1">
      <x:c r="A69" s="43" t="str">
        <x:v>PSY-065</x:v>
      </x:c>
      <x:c r="B69" s="43" t="str">
        <x:v>Domain Knowledge</x:v>
      </x:c>
      <x:c r="C69" s="43" t="str">
        <x:v>Topic knowledge; declarative and procedural knowledge</x:v>
      </x:c>
      <x:c r="D69" s="43" t="str">
        <x:v>Psychological</x:v>
      </x:c>
      <x:c r="E69" s="43" t="str">
        <x:v>Knowledge, Memory &amp; Mental Representation</x:v>
      </x:c>
      <x:c r="F69" s="43" t="str">
        <x:v>The amount and organization of accurate knowledge held about a specified domain.</x:v>
      </x:c>
      <x:c r="G69" s="43" t="str">
        <x:v>Multidimensional</x:v>
      </x:c>
      <x:c r="H69" s="43" t="str">
        <x:v>Test score; calibrated knowledge profile; concept coverage and accuracy</x:v>
      </x:c>
      <x:c r="I69" s="43" t="str">
        <x:v>Higher values = greater accurate and usable domain knowledge.</x:v>
      </x:c>
      <x:c r="J69" s="43" t="str">
        <x:v>Improves interpretation, prediction, option generation, and error detection within the domain.</x:v>
      </x:c>
      <x:c r="K69" s="43" t="str">
        <x:v>Learning; repeated exposure; expertise; retrieval cues; information quality; prior beliefs</x:v>
      </x:c>
      <x:c r="L69" s="43" t="str">
        <x:v>Prediction; interpretation; planning; confidence; causal attribution; choice</x:v>
      </x:c>
      <x:c r="M69" s="43" t="str">
        <x:v>Cue match, recency, interference, expertise, motivation, stress, and context congruence.</x:v>
      </x:c>
      <x:c r="N69" s="43" t="str">
        <x:v>Processing Fluency; Mental Model Coherence; Metacognitive Confidence; Prior-Belief Congruence</x:v>
      </x:c>
      <x:c r="O69" s="43" t="str">
        <x:v>Moderate</x:v>
      </x:c>
      <x:c r="P69" s="43" t="str">
        <x:v>Low</x:v>
      </x:c>
      <x:c r="Q69" s="43" t="str">
        <x:v>Weeks–Months</x:v>
      </x:c>
      <x:c r="R69" s="43" t="str">
        <x:v>Minutes–Hours</x:v>
      </x:c>
      <x:c r="S69" s="43" t="str">
        <x:v>Often durable; accessibility and confidence can change faster than underlying knowledge.</x:v>
      </x:c>
      <x:c r="T69" s="43" t="str">
        <x:v>Knowledge-test performance; explanation accuracy; expert classification</x:v>
      </x:c>
      <x:c r="U69" s="43" t="str">
        <x:v>Knowledge tests; recall/recognition tasks; concept mapping; confidence ratings; structured elicitation</x:v>
      </x:c>
      <x:c r="V69" s="43" t="str">
        <x:v>Moderate</x:v>
      </x:c>
      <x:c r="W69" s="43" t="str">
        <x:v>Accessible or familiar information may be inaccurate; observed recall depends on cues and does not fully reveal stored representation.</x:v>
      </x:c>
      <x:c r="X69" s="43" t="str">
        <x:v>Strong</x:v>
      </x:c>
      <x:c r="Y69" s="43" t="str">
        <x:v>Supported by established theory, validated measures, and converging review, meta-analytic, experimental, or longitudinal evidence. Magnitude and behavioral direction remain conditional on context. Representative records: SRC151; SRC109.</x:v>
      </x:c>
      <x:c r="Z69" s="43" t="str">
        <x:v>Equating familiarity, accessibility, confidence, and accuracy, or treating a mental model as an objective system description.</x:v>
      </x:c>
      <x:c r="AA69" s="43" t="str">
        <x:v>SRC151; SRC109</x:v>
      </x:c>
    </x:row>
    <x:row r="70" ht="72" customHeight="1">
      <x:c r="A70" s="43" t="str">
        <x:v>PSY-066</x:v>
      </x:c>
      <x:c r="B70" s="43" t="str">
        <x:v>Memory Accessibility</x:v>
      </x:c>
      <x:c r="C70" s="43" t="str">
        <x:v>Mental accessibility; retrieval accessibility; ease of recall</x:v>
      </x:c>
      <x:c r="D70" s="43" t="str">
        <x:v>Psychological</x:v>
      </x:c>
      <x:c r="E70" s="43" t="str">
        <x:v>Knowledge, Memory &amp; Mental Representation</x:v>
      </x:c>
      <x:c r="F70" s="43" t="str">
        <x:v>The readiness with which a specified memory, concept, or association can be retrieved under current cues.</x:v>
      </x:c>
      <x:c r="G70" s="43" t="str">
        <x:v>Unipolar continuous</x:v>
      </x:c>
      <x:c r="H70" s="43" t="str">
        <x:v>Low–high accessibility; response latency; recall probability</x:v>
      </x:c>
      <x:c r="I70" s="43" t="str">
        <x:v>Higher values = faster or more probable retrieval under the specified cue.</x:v>
      </x:c>
      <x:c r="J70" s="43" t="str">
        <x:v>Increases the likelihood that retrieved content shapes appraisal, prediction, and choice.</x:v>
      </x:c>
      <x:c r="K70" s="43" t="str">
        <x:v>Learning; repeated exposure; expertise; retrieval cues; information quality; prior beliefs</x:v>
      </x:c>
      <x:c r="L70" s="43" t="str">
        <x:v>Prediction; interpretation; planning; confidence; causal attribution; choice</x:v>
      </x:c>
      <x:c r="M70" s="43" t="str">
        <x:v>Cue match, recency, interference, expertise, motivation, stress, and context congruence.</x:v>
      </x:c>
      <x:c r="N70" s="43" t="str">
        <x:v>Processing Fluency; Mental Model Coherence; Metacognitive Confidence; Prior-Belief Congruence</x:v>
      </x:c>
      <x:c r="O70" s="43" t="str">
        <x:v>Moderate</x:v>
      </x:c>
      <x:c r="P70" s="43" t="str">
        <x:v>High</x:v>
      </x:c>
      <x:c r="Q70" s="43" t="str">
        <x:v>Seconds–Minutes</x:v>
      </x:c>
      <x:c r="R70" s="43" t="str">
        <x:v>Seconds–Minutes</x:v>
      </x:c>
      <x:c r="S70" s="43" t="str">
        <x:v>Usually task-bound and rapidly reversible, although learning and fatigue can produce longer effects.</x:v>
      </x:c>
      <x:c r="T70" s="43" t="str">
        <x:v>Recall latency; free-recall probability; accessibility rating</x:v>
      </x:c>
      <x:c r="U70" s="43" t="str">
        <x:v>Knowledge tests; recall/recognition tasks; concept mapping; confidence ratings; structured elicitation</x:v>
      </x:c>
      <x:c r="V70" s="43" t="str">
        <x:v>Moderate</x:v>
      </x:c>
      <x:c r="W70" s="43" t="str">
        <x:v>Accessible or familiar information may be inaccurate; observed recall depends on cues and does not fully reveal stored representation.</x:v>
      </x:c>
      <x:c r="X70" s="43" t="str">
        <x:v>Strong</x:v>
      </x:c>
      <x:c r="Y70" s="43" t="str">
        <x:v>Supported by established theory, validated measures, and converging review, meta-analytic, experimental, or longitudinal evidence. Magnitude and behavioral direction remain conditional on context. Representative records: SRC152; SRC125.</x:v>
      </x:c>
      <x:c r="Z70" s="43" t="str">
        <x:v>Equating familiarity, accessibility, confidence, and accuracy, or treating a mental model as an objective system description.</x:v>
      </x:c>
      <x:c r="AA70" s="43" t="str">
        <x:v>SRC152; SRC125</x:v>
      </x:c>
    </x:row>
    <x:row r="71" ht="72" customHeight="1">
      <x:c r="A71" s="43" t="str">
        <x:v>PSY-067</x:v>
      </x:c>
      <x:c r="B71" s="43" t="str">
        <x:v>Familiarity</x:v>
      </x:c>
      <x:c r="C71" s="43" t="str">
        <x:v>Subjective familiarity; prior-exposure feeling</x:v>
      </x:c>
      <x:c r="D71" s="43" t="str">
        <x:v>Psychological</x:v>
      </x:c>
      <x:c r="E71" s="43" t="str">
        <x:v>Knowledge, Memory &amp; Mental Representation</x:v>
      </x:c>
      <x:c r="F71" s="43" t="str">
        <x:v>The degree to which a stimulus, claim, person, or action feels previously encountered or known.</x:v>
      </x:c>
      <x:c r="G71" s="43" t="str">
        <x:v>Unipolar continuous</x:v>
      </x:c>
      <x:c r="H71" s="43" t="str">
        <x:v>Novel–highly familiar; recognition-familiarity estimate</x:v>
      </x:c>
      <x:c r="I71" s="43" t="str">
        <x:v>Higher values = stronger feeling of prior exposure or knowing.</x:v>
      </x:c>
      <x:c r="J71" s="43" t="str">
        <x:v>Can increase fluency, liking, perceived truth, and default acceptance while remaining separable from recollection and accuracy.</x:v>
      </x:c>
      <x:c r="K71" s="43" t="str">
        <x:v>Learning; repeated exposure; expertise; retrieval cues; information quality; prior beliefs</x:v>
      </x:c>
      <x:c r="L71" s="43" t="str">
        <x:v>Prediction; interpretation; planning; confidence; causal attribution; choice</x:v>
      </x:c>
      <x:c r="M71" s="43" t="str">
        <x:v>Cue match, recency, interference, expertise, motivation, stress, and context congruence.</x:v>
      </x:c>
      <x:c r="N71" s="43" t="str">
        <x:v>Processing Fluency; Mental Model Coherence; Metacognitive Confidence; Prior-Belief Congruence</x:v>
      </x:c>
      <x:c r="O71" s="43" t="str">
        <x:v>Moderate</x:v>
      </x:c>
      <x:c r="P71" s="43" t="str">
        <x:v>Low</x:v>
      </x:c>
      <x:c r="Q71" s="43" t="str">
        <x:v>Weeks–Months</x:v>
      </x:c>
      <x:c r="R71" s="43" t="str">
        <x:v>Minutes–Hours</x:v>
      </x:c>
      <x:c r="S71" s="43" t="str">
        <x:v>Often durable; accessibility and confidence can change faster than underlying knowledge.</x:v>
      </x:c>
      <x:c r="T71" s="43" t="str">
        <x:v>Familiarity rating; recognition response; exposure history</x:v>
      </x:c>
      <x:c r="U71" s="43" t="str">
        <x:v>Knowledge tests; recall/recognition tasks; concept mapping; confidence ratings; structured elicitation</x:v>
      </x:c>
      <x:c r="V71" s="43" t="str">
        <x:v>Moderate</x:v>
      </x:c>
      <x:c r="W71" s="43" t="str">
        <x:v>Accessible or familiar information may be inaccurate; observed recall depends on cues and does not fully reveal stored representation.</x:v>
      </x:c>
      <x:c r="X71" s="43" t="str">
        <x:v>Strong</x:v>
      </x:c>
      <x:c r="Y71" s="43" t="str">
        <x:v>Supported by established theory, validated measures, and converging review, meta-analytic, experimental, or longitudinal evidence. Magnitude and behavioral direction remain conditional on context. Representative records: SRC125; SRC171.</x:v>
      </x:c>
      <x:c r="Z71" s="43" t="str">
        <x:v>Equating familiarity, accessibility, confidence, and accuracy, or treating a mental model as an objective system description.</x:v>
      </x:c>
      <x:c r="AA71" s="43" t="str">
        <x:v>SRC125; SRC171</x:v>
      </x:c>
    </x:row>
    <x:row r="72" ht="72" customHeight="1">
      <x:c r="A72" s="43" t="str">
        <x:v>PSY-068</x:v>
      </x:c>
      <x:c r="B72" s="43" t="str">
        <x:v>Memory Confidence</x:v>
      </x:c>
      <x:c r="C72" s="43" t="str">
        <x:v>Confidence in recollection; retrospective confidence</x:v>
      </x:c>
      <x:c r="D72" s="43" t="str">
        <x:v>Psychological</x:v>
      </x:c>
      <x:c r="E72" s="43" t="str">
        <x:v>Knowledge, Memory &amp; Mental Representation</x:v>
      </x:c>
      <x:c r="F72" s="43" t="str">
        <x:v>The degree of confidence that a specified memory or recollection is accurate.</x:v>
      </x:c>
      <x:c r="G72" s="43" t="str">
        <x:v>Unipolar continuous</x:v>
      </x:c>
      <x:c r="H72" s="43" t="str">
        <x:v>0–100% confidence; low–high certainty</x:v>
      </x:c>
      <x:c r="I72" s="43" t="str">
        <x:v>Higher values = greater subjective confidence in memory accuracy.</x:v>
      </x:c>
      <x:c r="J72" s="43" t="str">
        <x:v>Changes reliance on recalled information and willingness to revise or communicate it.</x:v>
      </x:c>
      <x:c r="K72" s="43" t="str">
        <x:v>Learning; repeated exposure; expertise; retrieval cues; information quality; prior beliefs</x:v>
      </x:c>
      <x:c r="L72" s="43" t="str">
        <x:v>Prediction; interpretation; planning; confidence; causal attribution; choice</x:v>
      </x:c>
      <x:c r="M72" s="43" t="str">
        <x:v>Cue match, recency, interference, expertise, motivation, stress, and context congruence.</x:v>
      </x:c>
      <x:c r="N72" s="43" t="str">
        <x:v>Processing Fluency; Mental Model Coherence; Metacognitive Confidence; Prior-Belief Congruence</x:v>
      </x:c>
      <x:c r="O72" s="43" t="str">
        <x:v>Moderate</x:v>
      </x:c>
      <x:c r="P72" s="43" t="str">
        <x:v>Low</x:v>
      </x:c>
      <x:c r="Q72" s="43" t="str">
        <x:v>Days–Weeks</x:v>
      </x:c>
      <x:c r="R72" s="43" t="str">
        <x:v>Minutes–Hours</x:v>
      </x:c>
      <x:c r="S72" s="43" t="str">
        <x:v>Often persists for days to months; updating depends on counterevidence and confidence.</x:v>
      </x:c>
      <x:c r="T72" s="43" t="str">
        <x:v>Confidence rating; confidence–accuracy calibration; report persistence</x:v>
      </x:c>
      <x:c r="U72" s="43" t="str">
        <x:v>Knowledge tests; recall/recognition tasks; concept mapping; confidence ratings; structured elicitation</x:v>
      </x:c>
      <x:c r="V72" s="43" t="str">
        <x:v>Moderate</x:v>
      </x:c>
      <x:c r="W72" s="43" t="str">
        <x:v>Accessible or familiar information may be inaccurate; observed recall depends on cues and does not fully reveal stored representation.</x:v>
      </x:c>
      <x:c r="X72" s="43" t="str">
        <x:v>Moderate</x:v>
      </x:c>
      <x:c r="Y72" s="43" t="str">
        <x:v>Scientifically defensible with substantial supporting literature, while causal identification, construct boundaries, measurement, or transferability remain context dependent. Representative records: SRC169; SRC184.</x:v>
      </x:c>
      <x:c r="Z72" s="43" t="str">
        <x:v>Equating familiarity, accessibility, confidence, and accuracy, or treating a mental model as an objective system description.</x:v>
      </x:c>
      <x:c r="AA72" s="43" t="str">
        <x:v>SRC169; SRC184</x:v>
      </x:c>
    </x:row>
    <x:row r="73" ht="72" customHeight="1">
      <x:c r="A73" s="43" t="str">
        <x:v>PSY-069</x:v>
      </x:c>
      <x:c r="B73" s="43" t="str">
        <x:v>Prior-Belief Congruence</x:v>
      </x:c>
      <x:c r="C73" s="43" t="str">
        <x:v>Belief consistency; prior-attitude consistency</x:v>
      </x:c>
      <x:c r="D73" s="43" t="str">
        <x:v>Psychological</x:v>
      </x:c>
      <x:c r="E73" s="43" t="str">
        <x:v>Knowledge, Memory &amp; Mental Representation</x:v>
      </x:c>
      <x:c r="F73" s="43" t="str">
        <x:v>The degree to which new information is perceived as consistent with the person's existing beliefs or expectations.</x:v>
      </x:c>
      <x:c r="G73" s="43" t="str">
        <x:v>Bipolar continuous</x:v>
      </x:c>
      <x:c r="H73" s="43" t="str">
        <x:v>Strongly inconsistent–neutral–strongly consistent</x:v>
      </x:c>
      <x:c r="I73" s="43" t="str">
        <x:v>Negative values = contradiction; positive values = congruence.</x:v>
      </x:c>
      <x:c r="J73" s="43" t="str">
        <x:v>Changes ease of integration, scrutiny, affective response, and likelihood of belief updating.</x:v>
      </x:c>
      <x:c r="K73" s="43" t="str">
        <x:v>Learning; repeated exposure; expertise; retrieval cues; information quality; prior beliefs</x:v>
      </x:c>
      <x:c r="L73" s="43" t="str">
        <x:v>Prediction; interpretation; planning; confidence; causal attribution; choice</x:v>
      </x:c>
      <x:c r="M73" s="43" t="str">
        <x:v>Cue match, recency, interference, expertise, motivation, stress, and context congruence.</x:v>
      </x:c>
      <x:c r="N73" s="43" t="str">
        <x:v>Processing Fluency; Mental Model Coherence; Metacognitive Confidence; Prior-Belief Congruence</x:v>
      </x:c>
      <x:c r="O73" s="43" t="str">
        <x:v>High</x:v>
      </x:c>
      <x:c r="P73" s="43" t="str">
        <x:v>Moderate</x:v>
      </x:c>
      <x:c r="Q73" s="43" t="str">
        <x:v>Minutes–Hours</x:v>
      </x:c>
      <x:c r="R73" s="43" t="str">
        <x:v>Seconds–Minutes</x:v>
      </x:c>
      <x:c r="S73" s="43" t="str">
        <x:v>Usually reversible as cues, resources, or interpretations change; repeated appraisal can stabilize.</x:v>
      </x:c>
      <x:c r="T73" s="43" t="str">
        <x:v>Congruence rating; selective recall; acceptance or counterarguing</x:v>
      </x:c>
      <x:c r="U73" s="43" t="str">
        <x:v>Knowledge tests; recall/recognition tasks; concept mapping; confidence ratings; structured elicitation</x:v>
      </x:c>
      <x:c r="V73" s="43" t="str">
        <x:v>Moderate</x:v>
      </x:c>
      <x:c r="W73" s="43" t="str">
        <x:v>Accessible or familiar information may be inaccurate; observed recall depends on cues and does not fully reveal stored representation.</x:v>
      </x:c>
      <x:c r="X73" s="43" t="str">
        <x:v>Strong</x:v>
      </x:c>
      <x:c r="Y73" s="43" t="str">
        <x:v>Supported by established theory, validated measures, and converging review, meta-analytic, experimental, or longitudinal evidence. Magnitude and behavioral direction remain conditional on context. Representative records: SRC153; SRC117.</x:v>
      </x:c>
      <x:c r="Z73" s="43" t="str">
        <x:v>Equating familiarity, accessibility, confidence, and accuracy, or treating a mental model as an objective system description.</x:v>
      </x:c>
      <x:c r="AA73" s="43" t="str">
        <x:v>SRC153; SRC117</x:v>
      </x:c>
    </x:row>
    <x:row r="74" ht="72" customHeight="1">
      <x:c r="A74" s="43" t="str">
        <x:v>PSY-070</x:v>
      </x:c>
      <x:c r="B74" s="43" t="str">
        <x:v>Habit Strength</x:v>
      </x:c>
      <x:c r="C74" s="43" t="str">
        <x:v>Behavioral habit; context-linked habit</x:v>
      </x:c>
      <x:c r="D74" s="43" t="str">
        <x:v>Psychological</x:v>
      </x:c>
      <x:c r="E74" s="43" t="str">
        <x:v>Learning, Habit &amp; Automaticity</x:v>
      </x:c>
      <x:c r="F74" s="43" t="str">
        <x:v>The strength of a learned propensity for a specified context to cue a specified behavior with reduced deliberation.</x:v>
      </x:c>
      <x:c r="G74" s="43" t="str">
        <x:v>Unipolar continuous</x:v>
      </x:c>
      <x:c r="H74" s="43" t="str">
        <x:v>Low–high habit-strength composite; context-specific index</x:v>
      </x:c>
      <x:c r="I74" s="43" t="str">
        <x:v>Higher values = stronger learned context–behavior propensity.</x:v>
      </x:c>
      <x:c r="J74" s="43" t="str">
        <x:v>Allows stable cues to trigger action efficiently and compete with current intentions.</x:v>
      </x:c>
      <x:c r="K74" s="43" t="str">
        <x:v>Behavioral repetition; stable context cues; reinforcement history; modeling; goal consistency</x:v>
      </x:c>
      <x:c r="L74" s="43" t="str">
        <x:v>Automatic action initiation; persistence; reduced deliberation; cue-driven choice</x:v>
      </x:c>
      <x:c r="M74" s="43" t="str">
        <x:v>Context stability, reward schedule, cue specificity, competing goals, stress, and opportunity for repetition.</x:v>
      </x:c>
      <x:c r="N74" s="43" t="str">
        <x:v>Cue–Response Association Strength; Outcome Expectancy; Implementation Intention Strength; Self-Control Capacity</x:v>
      </x:c>
      <x:c r="O74" s="43" t="str">
        <x:v>Moderate</x:v>
      </x:c>
      <x:c r="P74" s="43" t="str">
        <x:v>Low</x:v>
      </x:c>
      <x:c r="Q74" s="43" t="str">
        <x:v>Weeks–Months</x:v>
      </x:c>
      <x:c r="R74" s="43" t="str">
        <x:v>Seconds–Minutes</x:v>
      </x:c>
      <x:c r="S74" s="43" t="str">
        <x:v>Can persist for months or years in stable contexts and weaken with cue disruption or sustained retraining.</x:v>
      </x:c>
      <x:c r="T74" s="43" t="str">
        <x:v>Self-report habit index; context-linked repetition; behavior stability</x:v>
      </x:c>
      <x:c r="U74" s="43" t="str">
        <x:v>Habit and automaticity scales; cue-response tasks; behavioral trace analysis; longitudinal repeated measurement</x:v>
      </x:c>
      <x:c r="V74" s="43" t="str">
        <x:v>Moderate</x:v>
      </x:c>
      <x:c r="W74" s="43" t="str">
        <x:v>Frequency, habit, automaticity, and cue association are related but not identical; self-report may not capture automatic processes well.</x:v>
      </x:c>
      <x:c r="X74" s="43" t="str">
        <x:v>Strong</x:v>
      </x:c>
      <x:c r="Y74" s="43" t="str">
        <x:v>Supported by established theory, validated measures, and converging review, meta-analytic, experimental, or longitudinal evidence. Magnitude and behavioral direction remain conditional on context. Representative records: SRC116; SRC154.</x:v>
      </x:c>
      <x:c r="Z74" s="43" t="str">
        <x:v>Inferring habit solely from repeated behavior or assuming learned responses cannot be overridden by goals and context change.</x:v>
      </x:c>
      <x:c r="AA74" s="43" t="str">
        <x:v>SRC116; SRC154</x:v>
      </x:c>
    </x:row>
    <x:row r="75" ht="72" customHeight="1">
      <x:c r="A75" s="43" t="str">
        <x:v>PSY-071</x:v>
      </x:c>
      <x:c r="B75" s="43" t="str">
        <x:v>Behavioral Automaticity</x:v>
      </x:c>
      <x:c r="C75" s="43" t="str">
        <x:v>Automaticity; automatic initiation</x:v>
      </x:c>
      <x:c r="D75" s="43" t="str">
        <x:v>Psychological</x:v>
      </x:c>
      <x:c r="E75" s="43" t="str">
        <x:v>Learning, Habit &amp; Automaticity</x:v>
      </x:c>
      <x:c r="F75" s="43" t="str">
        <x:v>The degree to which a specified behavior is initiated or executed quickly, efficiently, unintentionally, or with limited awareness.</x:v>
      </x:c>
      <x:c r="G75" s="43" t="str">
        <x:v>Multidimensional</x:v>
      </x:c>
      <x:c r="H75" s="43" t="str">
        <x:v>Automaticity subscales; latency/interference indicators</x:v>
      </x:c>
      <x:c r="I75" s="43" t="str">
        <x:v>Higher values = greater automatic initiation or execution.</x:v>
      </x:c>
      <x:c r="J75" s="43" t="str">
        <x:v>Reduces reliance on deliberative resources and increases cue-driven response probability.</x:v>
      </x:c>
      <x:c r="K75" s="43" t="str">
        <x:v>Behavioral repetition; stable context cues; reinforcement history; modeling; goal consistency</x:v>
      </x:c>
      <x:c r="L75" s="43" t="str">
        <x:v>Automatic action initiation; persistence; reduced deliberation; cue-driven choice</x:v>
      </x:c>
      <x:c r="M75" s="43" t="str">
        <x:v>Context stability, reward schedule, cue specificity, competing goals, stress, and opportunity for repetition.</x:v>
      </x:c>
      <x:c r="N75" s="43" t="str">
        <x:v>Cue–Response Association Strength; Outcome Expectancy; Implementation Intention Strength; Self-Control Capacity</x:v>
      </x:c>
      <x:c r="O75" s="43" t="str">
        <x:v>Moderate</x:v>
      </x:c>
      <x:c r="P75" s="43" t="str">
        <x:v>Low</x:v>
      </x:c>
      <x:c r="Q75" s="43" t="str">
        <x:v>Weeks–Months</x:v>
      </x:c>
      <x:c r="R75" s="43" t="str">
        <x:v>Seconds–Minutes</x:v>
      </x:c>
      <x:c r="S75" s="43" t="str">
        <x:v>Can persist for months or years in stable contexts and weaken with cue disruption or sustained retraining.</x:v>
      </x:c>
      <x:c r="T75" s="43" t="str">
        <x:v>Fast initiation; low reported awareness or effort; dual-task resilience</x:v>
      </x:c>
      <x:c r="U75" s="43" t="str">
        <x:v>Habit and automaticity scales; cue-response tasks; behavioral trace analysis; longitudinal repeated measurement</x:v>
      </x:c>
      <x:c r="V75" s="43" t="str">
        <x:v>Moderate</x:v>
      </x:c>
      <x:c r="W75" s="43" t="str">
        <x:v>Frequency, habit, automaticity, and cue association are related but not identical; self-report may not capture automatic processes well.</x:v>
      </x:c>
      <x:c r="X75" s="43" t="str">
        <x:v>Strong</x:v>
      </x:c>
      <x:c r="Y75" s="43" t="str">
        <x:v>Supported by established theory, validated measures, and converging review, meta-analytic, experimental, or longitudinal evidence. Magnitude and behavioral direction remain conditional on context. Representative records: SRC116; SRC154.</x:v>
      </x:c>
      <x:c r="Z75" s="43" t="str">
        <x:v>Inferring habit solely from repeated behavior or assuming learned responses cannot be overridden by goals and context change.</x:v>
      </x:c>
      <x:c r="AA75" s="43" t="str">
        <x:v>SRC116; SRC154</x:v>
      </x:c>
    </x:row>
    <x:row r="76" ht="72" customHeight="1">
      <x:c r="A76" s="43" t="str">
        <x:v>PSY-072</x:v>
      </x:c>
      <x:c r="B76" s="43" t="str">
        <x:v>Cue–Response Association Strength</x:v>
      </x:c>
      <x:c r="C76" s="43" t="str">
        <x:v>Stimulus–response association; cue linkage</x:v>
      </x:c>
      <x:c r="D76" s="43" t="str">
        <x:v>Psychological</x:v>
      </x:c>
      <x:c r="E76" s="43" t="str">
        <x:v>Learning, Habit &amp; Automaticity</x:v>
      </x:c>
      <x:c r="F76" s="43" t="str">
        <x:v>The strength of the learned association between a specified cue and a specified response representation.</x:v>
      </x:c>
      <x:c r="G76" s="43" t="str">
        <x:v>Unipolar continuous</x:v>
      </x:c>
      <x:c r="H76" s="43" t="str">
        <x:v>Low–high association; reaction-time or priming index</x:v>
      </x:c>
      <x:c r="I76" s="43" t="str">
        <x:v>Higher values = stronger cue-linked activation of the response.</x:v>
      </x:c>
      <x:c r="J76" s="43" t="str">
        <x:v>Increases the speed and probability with which the cue activates the response.</x:v>
      </x:c>
      <x:c r="K76" s="43" t="str">
        <x:v>Behavioral repetition; stable context cues; reinforcement history; modeling; goal consistency</x:v>
      </x:c>
      <x:c r="L76" s="43" t="str">
        <x:v>Automatic action initiation; persistence; reduced deliberation; cue-driven choice</x:v>
      </x:c>
      <x:c r="M76" s="43" t="str">
        <x:v>Context stability, reward schedule, cue specificity, competing goals, stress, and opportunity for repetition.</x:v>
      </x:c>
      <x:c r="N76" s="43" t="str">
        <x:v>Cue–Response Association Strength; Outcome Expectancy; Implementation Intention Strength; Self-Control Capacity</x:v>
      </x:c>
      <x:c r="O76" s="43" t="str">
        <x:v>Moderate</x:v>
      </x:c>
      <x:c r="P76" s="43" t="str">
        <x:v>Low</x:v>
      </x:c>
      <x:c r="Q76" s="43" t="str">
        <x:v>Weeks–Months</x:v>
      </x:c>
      <x:c r="R76" s="43" t="str">
        <x:v>Seconds–Minutes</x:v>
      </x:c>
      <x:c r="S76" s="43" t="str">
        <x:v>Can persist for months or years in stable contexts and weaken with cue disruption or sustained retraining.</x:v>
      </x:c>
      <x:c r="T76" s="43" t="str">
        <x:v>Priming effect; response latency; cue-specific action probability</x:v>
      </x:c>
      <x:c r="U76" s="43" t="str">
        <x:v>Habit and automaticity scales; cue-response tasks; behavioral trace analysis; longitudinal repeated measurement</x:v>
      </x:c>
      <x:c r="V76" s="43" t="str">
        <x:v>Moderate</x:v>
      </x:c>
      <x:c r="W76" s="43" t="str">
        <x:v>Frequency, habit, automaticity, and cue association are related but not identical; self-report may not capture automatic processes well.</x:v>
      </x:c>
      <x:c r="X76" s="43" t="str">
        <x:v>Strong</x:v>
      </x:c>
      <x:c r="Y76" s="43" t="str">
        <x:v>Supported by established theory, validated measures, and converging review, meta-analytic, experimental, or longitudinal evidence. Magnitude and behavioral direction remain conditional on context. Representative records: SRC120; SRC116.</x:v>
      </x:c>
      <x:c r="Z76" s="43" t="str">
        <x:v>Inferring habit solely from repeated behavior or assuming learned responses cannot be overridden by goals and context change.</x:v>
      </x:c>
      <x:c r="AA76" s="43" t="str">
        <x:v>SRC120; SRC116</x:v>
      </x:c>
    </x:row>
    <x:row r="77" ht="72" customHeight="1">
      <x:c r="A77" s="43" t="str">
        <x:v>PSY-073</x:v>
      </x:c>
      <x:c r="B77" s="43" t="str">
        <x:v>Reinforcement Expectancy</x:v>
      </x:c>
      <x:c r="C77" s="43" t="str">
        <x:v>Expected reinforcement; reward contingency belief</x:v>
      </x:c>
      <x:c r="D77" s="43" t="str">
        <x:v>Psychological</x:v>
      </x:c>
      <x:c r="E77" s="43" t="str">
        <x:v>Learning, Habit &amp; Automaticity</x:v>
      </x:c>
      <x:c r="F77" s="43" t="str">
        <x:v>The expected probability and value of reinforcement following a specified response in a specified context.</x:v>
      </x:c>
      <x:c r="G77" s="43" t="str">
        <x:v>Multidimensional</x:v>
      </x:c>
      <x:c r="H77" s="43" t="str">
        <x:v>Expected probability × subjective value; contingency rating</x:v>
      </x:c>
      <x:c r="I77" s="43" t="str">
        <x:v>Higher values = greater expected reinforcing value of the response.</x:v>
      </x:c>
      <x:c r="J77" s="43" t="str">
        <x:v>Supports learned response selection by representing anticipated reinforcement under the cue.</x:v>
      </x:c>
      <x:c r="K77" s="43" t="str">
        <x:v>Behavioral repetition; stable context cues; reinforcement history; modeling; goal consistency</x:v>
      </x:c>
      <x:c r="L77" s="43" t="str">
        <x:v>Automatic action initiation; persistence; reduced deliberation; cue-driven choice</x:v>
      </x:c>
      <x:c r="M77" s="43" t="str">
        <x:v>Context stability, reward schedule, cue specificity, competing goals, stress, and opportunity for repetition.</x:v>
      </x:c>
      <x:c r="N77" s="43" t="str">
        <x:v>Cue–Response Association Strength; Outcome Expectancy; Implementation Intention Strength; Self-Control Capacity</x:v>
      </x:c>
      <x:c r="O77" s="43" t="str">
        <x:v>Moderate</x:v>
      </x:c>
      <x:c r="P77" s="43" t="str">
        <x:v>Low</x:v>
      </x:c>
      <x:c r="Q77" s="43" t="str">
        <x:v>Days–Weeks</x:v>
      </x:c>
      <x:c r="R77" s="43" t="str">
        <x:v>Minutes–Hours</x:v>
      </x:c>
      <x:c r="S77" s="43" t="str">
        <x:v>Often persists for days to months; updating depends on counterevidence and confidence.</x:v>
      </x:c>
      <x:c r="T77" s="43" t="str">
        <x:v>Reward expectation; choice under learned contingencies; prediction rating</x:v>
      </x:c>
      <x:c r="U77" s="43" t="str">
        <x:v>Habit and automaticity scales; cue-response tasks; behavioral trace analysis; longitudinal repeated measurement</x:v>
      </x:c>
      <x:c r="V77" s="43" t="str">
        <x:v>Moderate</x:v>
      </x:c>
      <x:c r="W77" s="43" t="str">
        <x:v>Frequency, habit, automaticity, and cue association are related but not identical; self-report may not capture automatic processes well.</x:v>
      </x:c>
      <x:c r="X77" s="43" t="str">
        <x:v>Moderate</x:v>
      </x:c>
      <x:c r="Y77" s="43" t="str">
        <x:v>Scientifically defensible with substantial supporting literature, while causal identification, construct boundaries, measurement, or transferability remain context dependent. Representative records: SRC109; SRC111.</x:v>
      </x:c>
      <x:c r="Z77" s="43" t="str">
        <x:v>Inferring habit solely from repeated behavior or assuming learned responses cannot be overridden by goals and context change.</x:v>
      </x:c>
      <x:c r="AA77" s="43" t="str">
        <x:v>SRC109; SRC111</x:v>
      </x:c>
    </x:row>
    <x:row r="78" ht="72" customHeight="1">
      <x:c r="A78" s="43" t="str">
        <x:v>PSY-074</x:v>
      </x:c>
      <x:c r="B78" s="43" t="str">
        <x:v>Observationally Learned Expectancy</x:v>
      </x:c>
      <x:c r="C78" s="43" t="str">
        <x:v>Vicarious expectancy; modeled outcome expectancy</x:v>
      </x:c>
      <x:c r="D78" s="43" t="str">
        <x:v>Psychological</x:v>
      </x:c>
      <x:c r="E78" s="43" t="str">
        <x:v>Learning, Habit &amp; Automaticity</x:v>
      </x:c>
      <x:c r="F78" s="43" t="str">
        <x:v>An action–outcome expectation formed or updated from observing another person's behavior and consequences.</x:v>
      </x:c>
      <x:c r="G78" s="43" t="str">
        <x:v>Unipolar continuous</x:v>
      </x:c>
      <x:c r="H78" s="43" t="str">
        <x:v>0–1 expected outcome probability after modeled exposure</x:v>
      </x:c>
      <x:c r="I78" s="43" t="str">
        <x:v>Higher values = greater expected likelihood of the modeled consequence.</x:v>
      </x:c>
      <x:c r="J78" s="43" t="str">
        <x:v>Transfers observed contingencies into the observer's choice and efficacy representations without direct experience.</x:v>
      </x:c>
      <x:c r="K78" s="43" t="str">
        <x:v>Behavioral repetition; stable context cues; reinforcement history; modeling; goal consistency</x:v>
      </x:c>
      <x:c r="L78" s="43" t="str">
        <x:v>Automatic action initiation; persistence; reduced deliberation; cue-driven choice</x:v>
      </x:c>
      <x:c r="M78" s="43" t="str">
        <x:v>Context stability, reward schedule, cue specificity, competing goals, stress, and opportunity for repetition.</x:v>
      </x:c>
      <x:c r="N78" s="43" t="str">
        <x:v>Cue–Response Association Strength; Outcome Expectancy; Implementation Intention Strength; Self-Control Capacity</x:v>
      </x:c>
      <x:c r="O78" s="43" t="str">
        <x:v>Moderate</x:v>
      </x:c>
      <x:c r="P78" s="43" t="str">
        <x:v>Low</x:v>
      </x:c>
      <x:c r="Q78" s="43" t="str">
        <x:v>Days–Weeks</x:v>
      </x:c>
      <x:c r="R78" s="43" t="str">
        <x:v>Minutes–Hours</x:v>
      </x:c>
      <x:c r="S78" s="43" t="str">
        <x:v>Often persists for days to months; updating depends on counterevidence and confidence.</x:v>
      </x:c>
      <x:c r="T78" s="43" t="str">
        <x:v>Prediction after modeling; imitation choice; vicarious efficacy change</x:v>
      </x:c>
      <x:c r="U78" s="43" t="str">
        <x:v>Habit and automaticity scales; cue-response tasks; behavioral trace analysis; longitudinal repeated measurement</x:v>
      </x:c>
      <x:c r="V78" s="43" t="str">
        <x:v>Moderate</x:v>
      </x:c>
      <x:c r="W78" s="43" t="str">
        <x:v>Frequency, habit, automaticity, and cue association are related but not identical; self-report may not capture automatic processes well.</x:v>
      </x:c>
      <x:c r="X78" s="43" t="str">
        <x:v>Moderate</x:v>
      </x:c>
      <x:c r="Y78" s="43" t="str">
        <x:v>Scientifically defensible with substantial supporting literature, while causal identification, construct boundaries, measurement, or transferability remain context dependent. Representative records: SRC111; SRC109.</x:v>
      </x:c>
      <x:c r="Z78" s="43" t="str">
        <x:v>Inferring habit solely from repeated behavior or assuming learned responses cannot be overridden by goals and context change.</x:v>
      </x:c>
      <x:c r="AA78" s="43" t="str">
        <x:v>SRC111; SRC109</x:v>
      </x:c>
    </x:row>
    <x:row r="79" ht="72" customHeight="1">
      <x:c r="A79" s="43" t="str">
        <x:v>PSY-075</x:v>
      </x:c>
      <x:c r="B79" s="43" t="str">
        <x:v>Implementation Intention Strength</x:v>
      </x:c>
      <x:c r="C79" s="43" t="str">
        <x:v>If–then plan strength; implementation intention</x:v>
      </x:c>
      <x:c r="D79" s="43" t="str">
        <x:v>Psychological</x:v>
      </x:c>
      <x:c r="E79" s="43" t="str">
        <x:v>Planning, Self-Regulation &amp; Executive Control</x:v>
      </x:c>
      <x:c r="F79" s="43" t="str">
        <x:v>The strength and accessibility of a commitment linking a specified situational cue to a specified goal-directed response.</x:v>
      </x:c>
      <x:c r="G79" s="43" t="str">
        <x:v>Unipolar continuous</x:v>
      </x:c>
      <x:c r="H79" s="43" t="str">
        <x:v>Absent–strong if–then commitment; plan-quality rating</x:v>
      </x:c>
      <x:c r="I79" s="43" t="str">
        <x:v>Higher values = stronger cue–response commitment in service of an active goal.</x:v>
      </x:c>
      <x:c r="J79" s="43" t="str">
        <x:v>Makes the cue more accessible and delegates response initiation to the cue when the underlying goal is active.</x:v>
      </x:c>
      <x:c r="K79" s="43" t="str">
        <x:v>Goal importance; feedback; cognitive resources; training; stress; environmental structure</x:v>
      </x:c>
      <x:c r="L79" s="43" t="str">
        <x:v>Plan execution; error correction; persistence; impulse inhibition; emotion modulation; goal attainment</x:v>
      </x:c>
      <x:c r="M79" s="43" t="str">
        <x:v>Cognitive load, fatigue, stress, task complexity, cue availability, motivation, and plan quality.</x:v>
      </x:c>
      <x:c r="N79" s="43" t="str">
        <x:v>Goal Commitment; Cognitive Load; Self-Monitoring Intensity; Implementation Intention Strength</x:v>
      </x:c>
      <x:c r="O79" s="43" t="str">
        <x:v>High</x:v>
      </x:c>
      <x:c r="P79" s="43" t="str">
        <x:v>Moderate</x:v>
      </x:c>
      <x:c r="Q79" s="43" t="str">
        <x:v>Minutes–Hours; Days–Weeks</x:v>
      </x:c>
      <x:c r="R79" s="43" t="str">
        <x:v>Minutes–Hours</x:v>
      </x:c>
      <x:c r="S79" s="43" t="str">
        <x:v>Persists while the goal remains valued and feasible; may decay or be revised after feedback.</x:v>
      </x:c>
      <x:c r="T79" s="43" t="str">
        <x:v>If–then plan presence; cue recognition; plan-consistent action</x:v>
      </x:c>
      <x:c r="U79" s="43" t="str">
        <x:v>Planning and regulation scales; executive-control tasks; diary or experience sampling; behavioral performance measures</x:v>
      </x:c>
      <x:c r="V79" s="43" t="str">
        <x:v>Moderate</x:v>
      </x:c>
      <x:c r="W79" s="43" t="str">
        <x:v>Performance tasks and self-report capture different facets; capacity can be distinguished from momentary deployment and opportunity.</x:v>
      </x:c>
      <x:c r="X79" s="43" t="str">
        <x:v>Strong</x:v>
      </x:c>
      <x:c r="Y79" s="43" t="str">
        <x:v>Supported by established theory, validated measures, and converging review, meta-analytic, experimental, or longitudinal evidence. Magnitude and behavioral direction remain conditional on context. Representative records: SRC114; SRC120; SRC155.</x:v>
      </x:c>
      <x:c r="Z79" s="43" t="str">
        <x:v>Treating self-regulatory failure as a fixed personal deficit when task demands, opportunity, goals, or fatigue may dominate.</x:v>
      </x:c>
      <x:c r="AA79" s="43" t="str">
        <x:v>SRC114; SRC120; SRC155</x:v>
      </x:c>
    </x:row>
    <x:row r="80" ht="72" customHeight="1">
      <x:c r="A80" s="43" t="str">
        <x:v>PSY-076</x:v>
      </x:c>
      <x:c r="B80" s="43" t="str">
        <x:v>Action Plan Specificity</x:v>
      </x:c>
      <x:c r="C80" s="43" t="str">
        <x:v>Action planning; plan detail</x:v>
      </x:c>
      <x:c r="D80" s="43" t="str">
        <x:v>Psychological</x:v>
      </x:c>
      <x:c r="E80" s="43" t="str">
        <x:v>Planning, Self-Regulation &amp; Executive Control</x:v>
      </x:c>
      <x:c r="F80" s="43" t="str">
        <x:v>The degree to which a plan specifies what action will occur, when, where, how, and with what resources.</x:v>
      </x:c>
      <x:c r="G80" s="43" t="str">
        <x:v>Magnitude / level</x:v>
      </x:c>
      <x:c r="H80" s="43" t="str">
        <x:v>Vague–specific; coded completeness of action elements</x:v>
      </x:c>
      <x:c r="I80" s="43" t="str">
        <x:v>Higher values = greater plan specificity and completeness.</x:v>
      </x:c>
      <x:c r="J80" s="43" t="str">
        <x:v>Reduces translation ambiguity and supports preparation, cue recognition, and coordination.</x:v>
      </x:c>
      <x:c r="K80" s="43" t="str">
        <x:v>Goal importance; feedback; cognitive resources; training; stress; environmental structure</x:v>
      </x:c>
      <x:c r="L80" s="43" t="str">
        <x:v>Plan execution; error correction; persistence; impulse inhibition; emotion modulation; goal attainment</x:v>
      </x:c>
      <x:c r="M80" s="43" t="str">
        <x:v>Cognitive load, fatigue, stress, task complexity, cue availability, motivation, and plan quality.</x:v>
      </x:c>
      <x:c r="N80" s="43" t="str">
        <x:v>Goal Commitment; Cognitive Load; Self-Monitoring Intensity; Implementation Intention Strength</x:v>
      </x:c>
      <x:c r="O80" s="43" t="str">
        <x:v>High</x:v>
      </x:c>
      <x:c r="P80" s="43" t="str">
        <x:v>Moderate</x:v>
      </x:c>
      <x:c r="Q80" s="43" t="str">
        <x:v>Minutes–Hours; Days–Weeks</x:v>
      </x:c>
      <x:c r="R80" s="43" t="str">
        <x:v>Minutes–Hours</x:v>
      </x:c>
      <x:c r="S80" s="43" t="str">
        <x:v>Persists while the goal remains valued and feasible; may decay or be revised after feedback.</x:v>
      </x:c>
      <x:c r="T80" s="43" t="str">
        <x:v>Named action/time/place; resource preparation; plan completeness</x:v>
      </x:c>
      <x:c r="U80" s="43" t="str">
        <x:v>Planning and regulation scales; executive-control tasks; diary or experience sampling; behavioral performance measures</x:v>
      </x:c>
      <x:c r="V80" s="43" t="str">
        <x:v>Moderate</x:v>
      </x:c>
      <x:c r="W80" s="43" t="str">
        <x:v>Performance tasks and self-report capture different facets; capacity can be distinguished from momentary deployment and opportunity.</x:v>
      </x:c>
      <x:c r="X80" s="43" t="str">
        <x:v>Strong</x:v>
      </x:c>
      <x:c r="Y80" s="43" t="str">
        <x:v>Supported by established theory, validated measures, and converging review, meta-analytic, experimental, or longitudinal evidence. Magnitude and behavioral direction remain conditional on context. Representative records: SRC114; SRC155.</x:v>
      </x:c>
      <x:c r="Z80" s="43" t="str">
        <x:v>Treating self-regulatory failure as a fixed personal deficit when task demands, opportunity, goals, or fatigue may dominate.</x:v>
      </x:c>
      <x:c r="AA80" s="43" t="str">
        <x:v>SRC114; SRC155</x:v>
      </x:c>
    </x:row>
    <x:row r="81" ht="72" customHeight="1">
      <x:c r="A81" s="43" t="str">
        <x:v>PSY-077</x:v>
      </x:c>
      <x:c r="B81" s="43" t="str">
        <x:v>Self-Monitoring Intensity</x:v>
      </x:c>
      <x:c r="C81" s="43" t="str">
        <x:v>Behavioral self-monitoring; progress monitoring</x:v>
      </x:c>
      <x:c r="D81" s="43" t="str">
        <x:v>Psychological</x:v>
      </x:c>
      <x:c r="E81" s="43" t="str">
        <x:v>Planning, Self-Regulation &amp; Executive Control</x:v>
      </x:c>
      <x:c r="F81" s="43" t="str">
        <x:v>The frequency and attentional intensity with which a person observes and compares their behavior or progress against a target.</x:v>
      </x:c>
      <x:c r="G81" s="43" t="str">
        <x:v>Frequency</x:v>
      </x:c>
      <x:c r="H81" s="43" t="str">
        <x:v>Checks per period; low–high monitoring frequency/intensity</x:v>
      </x:c>
      <x:c r="I81" s="43" t="str">
        <x:v>Higher values = more frequent or intensive monitoring.</x:v>
      </x:c>
      <x:c r="J81" s="43" t="str">
        <x:v>Makes discrepancies visible and enables feedback-driven adjustment.</x:v>
      </x:c>
      <x:c r="K81" s="43" t="str">
        <x:v>Goal importance; feedback; cognitive resources; training; stress; environmental structure</x:v>
      </x:c>
      <x:c r="L81" s="43" t="str">
        <x:v>Plan execution; error correction; persistence; impulse inhibition; emotion modulation; goal attainment</x:v>
      </x:c>
      <x:c r="M81" s="43" t="str">
        <x:v>Cognitive load, fatigue, stress, task complexity, cue availability, motivation, and plan quality.</x:v>
      </x:c>
      <x:c r="N81" s="43" t="str">
        <x:v>Goal Commitment; Cognitive Load; Self-Monitoring Intensity; Implementation Intention Strength</x:v>
      </x:c>
      <x:c r="O81" s="43" t="str">
        <x:v>Moderate</x:v>
      </x:c>
      <x:c r="P81" s="43" t="str">
        <x:v>Moderate</x:v>
      </x:c>
      <x:c r="Q81" s="43" t="str">
        <x:v>Hours–Days; Weeks–Months</x:v>
      </x:c>
      <x:c r="R81" s="43" t="str">
        <x:v>Seconds–Minutes</x:v>
      </x:c>
      <x:c r="S81" s="43" t="str">
        <x:v>Momentary deployment recovers with rest or context change; trained capacity may persist longer.</x:v>
      </x:c>
      <x:c r="T81" s="43" t="str">
        <x:v>Tracking frequency; recorded progress; feedback checking</x:v>
      </x:c>
      <x:c r="U81" s="43" t="str">
        <x:v>Planning and regulation scales; executive-control tasks; diary or experience sampling; behavioral performance measures</x:v>
      </x:c>
      <x:c r="V81" s="43" t="str">
        <x:v>Moderate</x:v>
      </x:c>
      <x:c r="W81" s="43" t="str">
        <x:v>Performance tasks and self-report capture different facets; capacity can be distinguished from momentary deployment and opportunity.</x:v>
      </x:c>
      <x:c r="X81" s="43" t="str">
        <x:v>Strong</x:v>
      </x:c>
      <x:c r="Y81" s="43" t="str">
        <x:v>Supported by established theory, validated measures, and converging review, meta-analytic, experimental, or longitudinal evidence. Magnitude and behavioral direction remain conditional on context. Representative records: SRC139; SRC109.</x:v>
      </x:c>
      <x:c r="Z81" s="43" t="str">
        <x:v>Treating self-regulatory failure as a fixed personal deficit when task demands, opportunity, goals, or fatigue may dominate.</x:v>
      </x:c>
      <x:c r="AA81" s="43" t="str">
        <x:v>SRC139; SRC109</x:v>
      </x:c>
    </x:row>
    <x:row r="82" ht="72" customHeight="1">
      <x:c r="A82" s="43" t="str">
        <x:v>PSY-078</x:v>
      </x:c>
      <x:c r="B82" s="43" t="str">
        <x:v>Goal–State Discrepancy</x:v>
      </x:c>
      <x:c r="C82" s="43" t="str">
        <x:v>Goal discrepancy; control-system error</x:v>
      </x:c>
      <x:c r="D82" s="43" t="str">
        <x:v>Psychological</x:v>
      </x:c>
      <x:c r="E82" s="43" t="str">
        <x:v>Planning, Self-Regulation &amp; Executive Control</x:v>
      </x:c>
      <x:c r="F82" s="43" t="str">
        <x:v>The magnitude and direction of the difference between a desired target state and the person's perceived current state.</x:v>
      </x:c>
      <x:c r="G82" s="43" t="str">
        <x:v>Bipolar continuous</x:v>
      </x:c>
      <x:c r="H82" s="43" t="str">
        <x:v>Below target–at target–above target; quantitative gap</x:v>
      </x:c>
      <x:c r="I82" s="43" t="str">
        <x:v>Negative or positive values indicate direction; magnitude indicates distance from target.</x:v>
      </x:c>
      <x:c r="J82" s="43" t="str">
        <x:v>Generates corrective motivation and guides persistence, escalation, revision, or disengagement.</x:v>
      </x:c>
      <x:c r="K82" s="43" t="str">
        <x:v>Goal importance; feedback; cognitive resources; training; stress; environmental structure</x:v>
      </x:c>
      <x:c r="L82" s="43" t="str">
        <x:v>Plan execution; error correction; persistence; impulse inhibition; emotion modulation; goal attainment</x:v>
      </x:c>
      <x:c r="M82" s="43" t="str">
        <x:v>Cognitive load, fatigue, stress, task complexity, cue availability, motivation, and plan quality.</x:v>
      </x:c>
      <x:c r="N82" s="43" t="str">
        <x:v>Goal Commitment; Cognitive Load; Self-Monitoring Intensity; Implementation Intention Strength</x:v>
      </x:c>
      <x:c r="O82" s="43" t="str">
        <x:v>High</x:v>
      </x:c>
      <x:c r="P82" s="43" t="str">
        <x:v>Moderate</x:v>
      </x:c>
      <x:c r="Q82" s="43" t="str">
        <x:v>Minutes–Hours</x:v>
      </x:c>
      <x:c r="R82" s="43" t="str">
        <x:v>Seconds–Minutes</x:v>
      </x:c>
      <x:c r="S82" s="43" t="str">
        <x:v>Usually reversible as cues, resources, or interpretations change; repeated appraisal can stabilize.</x:v>
      </x:c>
      <x:c r="T82" s="43" t="str">
        <x:v>Target–current gap; corrective action; progress rate</x:v>
      </x:c>
      <x:c r="U82" s="43" t="str">
        <x:v>Planning and regulation scales; executive-control tasks; diary or experience sampling; behavioral performance measures</x:v>
      </x:c>
      <x:c r="V82" s="43" t="str">
        <x:v>Moderate</x:v>
      </x:c>
      <x:c r="W82" s="43" t="str">
        <x:v>Performance tasks and self-report capture different facets; capacity can be distinguished from momentary deployment and opportunity.</x:v>
      </x:c>
      <x:c r="X82" s="43" t="str">
        <x:v>Strong</x:v>
      </x:c>
      <x:c r="Y82" s="43" t="str">
        <x:v>Supported by established theory, validated measures, and converging review, meta-analytic, experimental, or longitudinal evidence. Magnitude and behavioral direction remain conditional on context. Representative records: SRC185; SRC118.</x:v>
      </x:c>
      <x:c r="Z82" s="43" t="str">
        <x:v>Treating self-regulatory failure as a fixed personal deficit when task demands, opportunity, goals, or fatigue may dominate.</x:v>
      </x:c>
      <x:c r="AA82" s="43" t="str">
        <x:v>SRC185; SRC118</x:v>
      </x:c>
    </x:row>
    <x:row r="83" ht="72" customHeight="1">
      <x:c r="A83" s="43" t="str">
        <x:v>PSY-079</x:v>
      </x:c>
      <x:c r="B83" s="43" t="str">
        <x:v>Emotion Regulation Capacity</x:v>
      </x:c>
      <x:c r="C83" s="43" t="str">
        <x:v>Emotion-regulation ability; regulatory capacity</x:v>
      </x:c>
      <x:c r="D83" s="43" t="str">
        <x:v>Psychological</x:v>
      </x:c>
      <x:c r="E83" s="43" t="str">
        <x:v>Planning, Self-Regulation &amp; Executive Control</x:v>
      </x:c>
      <x:c r="F83" s="43" t="str">
        <x:v>The currently available capacity to modify the intensity, duration, expression, or consequences of emotion in service of goals.</x:v>
      </x:c>
      <x:c r="G83" s="43" t="str">
        <x:v>Magnitude / level</x:v>
      </x:c>
      <x:c r="H83" s="43" t="str">
        <x:v>Low–high capacity; strategy-success rating; task performance</x:v>
      </x:c>
      <x:c r="I83" s="43" t="str">
        <x:v>Higher values = greater capacity to alter emotion or its consequences effectively.</x:v>
      </x:c>
      <x:c r="J83" s="43" t="str">
        <x:v>Changes how strongly emotion constrains attention, valuation, communication, and action.</x:v>
      </x:c>
      <x:c r="K83" s="43" t="str">
        <x:v>Goal importance; feedback; cognitive resources; training; stress; environmental structure</x:v>
      </x:c>
      <x:c r="L83" s="43" t="str">
        <x:v>Plan execution; error correction; persistence; impulse inhibition; emotion modulation; goal attainment</x:v>
      </x:c>
      <x:c r="M83" s="43" t="str">
        <x:v>Cognitive load, fatigue, stress, task complexity, cue availability, motivation, and plan quality.</x:v>
      </x:c>
      <x:c r="N83" s="43" t="str">
        <x:v>Goal Commitment; Cognitive Load; Self-Monitoring Intensity; Implementation Intention Strength</x:v>
      </x:c>
      <x:c r="O83" s="43" t="str">
        <x:v>Moderate</x:v>
      </x:c>
      <x:c r="P83" s="43" t="str">
        <x:v>Moderate</x:v>
      </x:c>
      <x:c r="Q83" s="43" t="str">
        <x:v>Hours–Days; Weeks–Months</x:v>
      </x:c>
      <x:c r="R83" s="43" t="str">
        <x:v>Seconds–Minutes</x:v>
      </x:c>
      <x:c r="S83" s="43" t="str">
        <x:v>Momentary deployment recovers with rest or context change; trained capacity may persist longer.</x:v>
      </x:c>
      <x:c r="T83" s="43" t="str">
        <x:v>Regulation success; strategy use; recovery; expression change</x:v>
      </x:c>
      <x:c r="U83" s="43" t="str">
        <x:v>Planning and regulation scales; executive-control tasks; diary or experience sampling; behavioral performance measures</x:v>
      </x:c>
      <x:c r="V83" s="43" t="str">
        <x:v>Moderate</x:v>
      </x:c>
      <x:c r="W83" s="43" t="str">
        <x:v>Performance tasks and self-report capture different facets; capacity can be distinguished from momentary deployment and opportunity.</x:v>
      </x:c>
      <x:c r="X83" s="43" t="str">
        <x:v>Strong</x:v>
      </x:c>
      <x:c r="Y83" s="43" t="str">
        <x:v>Supported by established theory, validated measures, and converging review, meta-analytic, experimental, or longitudinal evidence. Magnitude and behavioral direction remain conditional on context. Representative records: SRC121; SRC143; SRC144.</x:v>
      </x:c>
      <x:c r="Z83" s="43" t="str">
        <x:v>Treating self-regulatory failure as a fixed personal deficit when task demands, opportunity, goals, or fatigue may dominate.</x:v>
      </x:c>
      <x:c r="AA83" s="43" t="str">
        <x:v>SRC121; SRC143; SRC144</x:v>
      </x:c>
    </x:row>
    <x:row r="84" ht="72" customHeight="1">
      <x:c r="A84" s="43" t="str">
        <x:v>PSY-080</x:v>
      </x:c>
      <x:c r="B84" s="43" t="str">
        <x:v>Attentional Control Capacity</x:v>
      </x:c>
      <x:c r="C84" s="43" t="str">
        <x:v>Executive attention control; attentional control</x:v>
      </x:c>
      <x:c r="D84" s="43" t="str">
        <x:v>Psychological</x:v>
      </x:c>
      <x:c r="E84" s="43" t="str">
        <x:v>Planning, Self-Regulation &amp; Executive Control</x:v>
      </x:c>
      <x:c r="F84" s="43" t="str">
        <x:v>The currently available capacity to direct, sustain, or shift attention according to goals despite distraction or threat.</x:v>
      </x:c>
      <x:c r="G84" s="43" t="str">
        <x:v>Magnitude / level</x:v>
      </x:c>
      <x:c r="H84" s="43" t="str">
        <x:v>Low–high control; interference or switching performance</x:v>
      </x:c>
      <x:c r="I84" s="43" t="str">
        <x:v>Higher values = greater goal-directed control of attention.</x:v>
      </x:c>
      <x:c r="J84" s="43" t="str">
        <x:v>Protects task-relevant processing and limits capture by distractors or worry.</x:v>
      </x:c>
      <x:c r="K84" s="43" t="str">
        <x:v>Goal importance; feedback; cognitive resources; training; stress; environmental structure</x:v>
      </x:c>
      <x:c r="L84" s="43" t="str">
        <x:v>Plan execution; error correction; persistence; impulse inhibition; emotion modulation; goal attainment</x:v>
      </x:c>
      <x:c r="M84" s="43" t="str">
        <x:v>Cognitive load, fatigue, stress, task complexity, cue availability, motivation, and plan quality.</x:v>
      </x:c>
      <x:c r="N84" s="43" t="str">
        <x:v>Goal Commitment; Cognitive Load; Self-Monitoring Intensity; Implementation Intention Strength</x:v>
      </x:c>
      <x:c r="O84" s="43" t="str">
        <x:v>Moderate</x:v>
      </x:c>
      <x:c r="P84" s="43" t="str">
        <x:v>Moderate</x:v>
      </x:c>
      <x:c r="Q84" s="43" t="str">
        <x:v>Hours–Days; Weeks–Months</x:v>
      </x:c>
      <x:c r="R84" s="43" t="str">
        <x:v>Seconds–Minutes</x:v>
      </x:c>
      <x:c r="S84" s="43" t="str">
        <x:v>Momentary deployment recovers with rest or context change; trained capacity may persist longer.</x:v>
      </x:c>
      <x:c r="T84" s="43" t="str">
        <x:v>Interference cost; sustained-attention errors; control rating</x:v>
      </x:c>
      <x:c r="U84" s="43" t="str">
        <x:v>Planning and regulation scales; executive-control tasks; diary or experience sampling; behavioral performance measures</x:v>
      </x:c>
      <x:c r="V84" s="43" t="str">
        <x:v>Moderate</x:v>
      </x:c>
      <x:c r="W84" s="43" t="str">
        <x:v>Performance tasks and self-report capture different facets; capacity can be distinguished from momentary deployment and opportunity.</x:v>
      </x:c>
      <x:c r="X84" s="43" t="str">
        <x:v>Strong</x:v>
      </x:c>
      <x:c r="Y84" s="43" t="str">
        <x:v>Supported by established theory, validated measures, and converging review, meta-analytic, experimental, or longitudinal evidence. Magnitude and behavioral direction remain conditional on context. Representative records: SRC148; SRC149.</x:v>
      </x:c>
      <x:c r="Z84" s="43" t="str">
        <x:v>Treating self-regulatory failure as a fixed personal deficit when task demands, opportunity, goals, or fatigue may dominate.</x:v>
      </x:c>
      <x:c r="AA84" s="43" t="str">
        <x:v>SRC148; SRC149</x:v>
      </x:c>
    </x:row>
    <x:row r="85" ht="72" customHeight="1">
      <x:c r="A85" s="43" t="str">
        <x:v>PSY-081</x:v>
      </x:c>
      <x:c r="B85" s="43" t="str">
        <x:v>Response Inhibition Capacity</x:v>
      </x:c>
      <x:c r="C85" s="43" t="str">
        <x:v>Inhibitory control; response inhibition</x:v>
      </x:c>
      <x:c r="D85" s="43" t="str">
        <x:v>Psychological</x:v>
      </x:c>
      <x:c r="E85" s="43" t="str">
        <x:v>Planning, Self-Regulation &amp; Executive Control</x:v>
      </x:c>
      <x:c r="F85" s="43" t="str">
        <x:v>The currently available capacity to suppress or stop a dominant, prepotent, or already initiated response.</x:v>
      </x:c>
      <x:c r="G85" s="43" t="str">
        <x:v>Magnitude / level</x:v>
      </x:c>
      <x:c r="H85" s="43" t="str">
        <x:v>Low–high capacity; stop-signal or go/no-go performance</x:v>
      </x:c>
      <x:c r="I85" s="43" t="str">
        <x:v>Higher values = greater ability to suppress the specified response.</x:v>
      </x:c>
      <x:c r="J85" s="43" t="str">
        <x:v>Permits goals and rules to override impulses or automatic responses.</x:v>
      </x:c>
      <x:c r="K85" s="43" t="str">
        <x:v>Goal importance; feedback; cognitive resources; training; stress; environmental structure</x:v>
      </x:c>
      <x:c r="L85" s="43" t="str">
        <x:v>Plan execution; error correction; persistence; impulse inhibition; emotion modulation; goal attainment</x:v>
      </x:c>
      <x:c r="M85" s="43" t="str">
        <x:v>Cognitive load, fatigue, stress, task complexity, cue availability, motivation, and plan quality.</x:v>
      </x:c>
      <x:c r="N85" s="43" t="str">
        <x:v>Goal Commitment; Cognitive Load; Self-Monitoring Intensity; Implementation Intention Strength</x:v>
      </x:c>
      <x:c r="O85" s="43" t="str">
        <x:v>Moderate</x:v>
      </x:c>
      <x:c r="P85" s="43" t="str">
        <x:v>Moderate</x:v>
      </x:c>
      <x:c r="Q85" s="43" t="str">
        <x:v>Hours–Days; Weeks–Months</x:v>
      </x:c>
      <x:c r="R85" s="43" t="str">
        <x:v>Seconds–Minutes</x:v>
      </x:c>
      <x:c r="S85" s="43" t="str">
        <x:v>Momentary deployment recovers with rest or context change; trained capacity may persist longer.</x:v>
      </x:c>
      <x:c r="T85" s="43" t="str">
        <x:v>Stop-signal latency; commission errors; restraint behavior</x:v>
      </x:c>
      <x:c r="U85" s="43" t="str">
        <x:v>Planning and regulation scales; executive-control tasks; diary or experience sampling; behavioral performance measures</x:v>
      </x:c>
      <x:c r="V85" s="43" t="str">
        <x:v>Moderate</x:v>
      </x:c>
      <x:c r="W85" s="43" t="str">
        <x:v>Performance tasks and self-report capture different facets; capacity can be distinguished from momentary deployment and opportunity.</x:v>
      </x:c>
      <x:c r="X85" s="43" t="str">
        <x:v>Strong</x:v>
      </x:c>
      <x:c r="Y85" s="43" t="str">
        <x:v>Supported by established theory, validated measures, and converging review, meta-analytic, experimental, or longitudinal evidence. Magnitude and behavioral direction remain conditional on context. Representative records: SRC149; SRC186.</x:v>
      </x:c>
      <x:c r="Z85" s="43" t="str">
        <x:v>Treating self-regulatory failure as a fixed personal deficit when task demands, opportunity, goals, or fatigue may dominate.</x:v>
      </x:c>
      <x:c r="AA85" s="43" t="str">
        <x:v>SRC149; SRC186</x:v>
      </x:c>
    </x:row>
    <x:row r="86" ht="72" customHeight="1">
      <x:c r="A86" s="43" t="str">
        <x:v>PSY-082</x:v>
      </x:c>
      <x:c r="B86" s="43" t="str">
        <x:v>Self-Control Capacity</x:v>
      </x:c>
      <x:c r="C86" s="43" t="str">
        <x:v>State self-control; regulatory control capacity</x:v>
      </x:c>
      <x:c r="D86" s="43" t="str">
        <x:v>Psychological</x:v>
      </x:c>
      <x:c r="E86" s="43" t="str">
        <x:v>Planning, Self-Regulation &amp; Executive Control</x:v>
      </x:c>
      <x:c r="F86" s="43" t="str">
        <x:v>The currently available capacity to align behavior with valued longer-term goals when immediate impulses or competing responses are present.</x:v>
      </x:c>
      <x:c r="G86" s="43" t="str">
        <x:v>Magnitude / level</x:v>
      </x:c>
      <x:c r="H86" s="43" t="str">
        <x:v>Low–high state capacity; behavioral restraint index</x:v>
      </x:c>
      <x:c r="I86" s="43" t="str">
        <x:v>Higher values = greater current capacity for goal-consistent restraint.</x:v>
      </x:c>
      <x:c r="J86" s="43" t="str">
        <x:v>Supports inhibition, attention, and strategy deployment when immediate and longer-term goals conflict.</x:v>
      </x:c>
      <x:c r="K86" s="43" t="str">
        <x:v>Goal importance; feedback; cognitive resources; training; stress; environmental structure</x:v>
      </x:c>
      <x:c r="L86" s="43" t="str">
        <x:v>Plan execution; error correction; persistence; impulse inhibition; emotion modulation; goal attainment</x:v>
      </x:c>
      <x:c r="M86" s="43" t="str">
        <x:v>Cognitive load, fatigue, stress, task complexity, cue availability, motivation, and plan quality.</x:v>
      </x:c>
      <x:c r="N86" s="43" t="str">
        <x:v>Goal Commitment; Cognitive Load; Self-Monitoring Intensity; Implementation Intention Strength</x:v>
      </x:c>
      <x:c r="O86" s="43" t="str">
        <x:v>Moderate</x:v>
      </x:c>
      <x:c r="P86" s="43" t="str">
        <x:v>Moderate</x:v>
      </x:c>
      <x:c r="Q86" s="43" t="str">
        <x:v>Hours–Days; Weeks–Months</x:v>
      </x:c>
      <x:c r="R86" s="43" t="str">
        <x:v>Seconds–Minutes</x:v>
      </x:c>
      <x:c r="S86" s="43" t="str">
        <x:v>Momentary deployment recovers with rest or context change; trained capacity may persist longer.</x:v>
      </x:c>
      <x:c r="T86" s="43" t="str">
        <x:v>Delay or restraint behavior; state-control rating; persistence</x:v>
      </x:c>
      <x:c r="U86" s="43" t="str">
        <x:v>Planning and regulation scales; executive-control tasks; diary or experience sampling; behavioral performance measures</x:v>
      </x:c>
      <x:c r="V86" s="43" t="str">
        <x:v>Moderate</x:v>
      </x:c>
      <x:c r="W86" s="43" t="str">
        <x:v>Performance tasks and self-report capture different facets; capacity can be distinguished from momentary deployment and opportunity.</x:v>
      </x:c>
      <x:c r="X86" s="43" t="str">
        <x:v>Moderate</x:v>
      </x:c>
      <x:c r="Y86" s="43" t="str">
        <x:v>Scientifically defensible with substantial supporting literature, while causal identification, construct boundaries, measurement, or transferability remain context dependent. Representative records: SRC157; SRC186.</x:v>
      </x:c>
      <x:c r="Z86" s="43" t="str">
        <x:v>Treating self-regulatory failure as a fixed personal deficit when task demands, opportunity, goals, or fatigue may dominate.</x:v>
      </x:c>
      <x:c r="AA86" s="43" t="str">
        <x:v>SRC157; SRC186</x:v>
      </x:c>
    </x:row>
    <x:row r="87" ht="72" customHeight="1">
      <x:c r="A87" s="43" t="str">
        <x:v>PSY-083</x:v>
      </x:c>
      <x:c r="B87" s="43" t="str">
        <x:v>Coping Strategy Flexibility</x:v>
      </x:c>
      <x:c r="C87" s="43" t="str">
        <x:v>Coping flexibility; regulatory flexibility</x:v>
      </x:c>
      <x:c r="D87" s="43" t="str">
        <x:v>Psychological</x:v>
      </x:c>
      <x:c r="E87" s="43" t="str">
        <x:v>Planning, Self-Regulation &amp; Executive Control</x:v>
      </x:c>
      <x:c r="F87" s="43" t="str">
        <x:v>The capacity to vary coping strategies in response to changing demands, controllability, and feedback.</x:v>
      </x:c>
      <x:c r="G87" s="43" t="str">
        <x:v>Magnitude / level</x:v>
      </x:c>
      <x:c r="H87" s="43" t="str">
        <x:v>Low–high flexibility; repertoire × context-fit measure</x:v>
      </x:c>
      <x:c r="I87" s="43" t="str">
        <x:v>Higher values = greater ability to adapt coping strategy to context.</x:v>
      </x:c>
      <x:c r="J87" s="43" t="str">
        <x:v>Improves regulation by matching strategy to situational demands rather than rigidly repeating one response.</x:v>
      </x:c>
      <x:c r="K87" s="43" t="str">
        <x:v>Goal importance; feedback; cognitive resources; training; stress; environmental structure</x:v>
      </x:c>
      <x:c r="L87" s="43" t="str">
        <x:v>Plan execution; error correction; persistence; impulse inhibition; emotion modulation; goal attainment</x:v>
      </x:c>
      <x:c r="M87" s="43" t="str">
        <x:v>Cognitive load, fatigue, stress, task complexity, cue availability, motivation, and plan quality.</x:v>
      </x:c>
      <x:c r="N87" s="43" t="str">
        <x:v>Goal Commitment; Cognitive Load; Self-Monitoring Intensity; Implementation Intention Strength</x:v>
      </x:c>
      <x:c r="O87" s="43" t="str">
        <x:v>Moderate</x:v>
      </x:c>
      <x:c r="P87" s="43" t="str">
        <x:v>Moderate</x:v>
      </x:c>
      <x:c r="Q87" s="43" t="str">
        <x:v>Hours–Days; Weeks–Months</x:v>
      </x:c>
      <x:c r="R87" s="43" t="str">
        <x:v>Seconds–Minutes</x:v>
      </x:c>
      <x:c r="S87" s="43" t="str">
        <x:v>Momentary deployment recovers with rest or context change; trained capacity may persist longer.</x:v>
      </x:c>
      <x:c r="T87" s="43" t="str">
        <x:v>Strategy switching; context-fit ratings; coping repertoire</x:v>
      </x:c>
      <x:c r="U87" s="43" t="str">
        <x:v>Planning and regulation scales; executive-control tasks; diary or experience sampling; behavioral performance measures</x:v>
      </x:c>
      <x:c r="V87" s="43" t="str">
        <x:v>Moderate</x:v>
      </x:c>
      <x:c r="W87" s="43" t="str">
        <x:v>Performance tasks and self-report capture different facets; capacity can be distinguished from momentary deployment and opportunity.</x:v>
      </x:c>
      <x:c r="X87" s="43" t="str">
        <x:v>Moderate</x:v>
      </x:c>
      <x:c r="Y87" s="43" t="str">
        <x:v>Scientifically defensible with substantial supporting literature, while causal identification, construct boundaries, measurement, or transferability remain context dependent. Representative records: SRC121; SRC143.</x:v>
      </x:c>
      <x:c r="Z87" s="43" t="str">
        <x:v>Treating self-regulatory failure as a fixed personal deficit when task demands, opportunity, goals, or fatigue may dominate.</x:v>
      </x:c>
      <x:c r="AA87" s="43" t="str">
        <x:v>SRC121; SRC143</x:v>
      </x:c>
    </x:row>
    <x:row r="88" ht="72" customHeight="1">
      <x:c r="A88" s="43" t="str">
        <x:v>PSY-084</x:v>
      </x:c>
      <x:c r="B88" s="43" t="str">
        <x:v>Loss Aversion</x:v>
      </x:c>
      <x:c r="C88" s="43" t="str">
        <x:v>Loss sensitivity; loss/gain asymmetry</x:v>
      </x:c>
      <x:c r="D88" s="43" t="str">
        <x:v>Psychological</x:v>
      </x:c>
      <x:c r="E88" s="43" t="str">
        <x:v>Decision Valuation Across Risk, Time &amp; Effort</x:v>
      </x:c>
      <x:c r="F88" s="43" t="str">
        <x:v>The degree to which equivalent losses are weighted more heavily than gains relative to a reference point.</x:v>
      </x:c>
      <x:c r="G88" s="43" t="str">
        <x:v>Magnitude / level</x:v>
      </x:c>
      <x:c r="H88" s="43" t="str">
        <x:v>Estimated loss-aversion coefficient; choice-indifference ratio</x:v>
      </x:c>
      <x:c r="I88" s="43" t="str">
        <x:v>Higher values = greater relative weighting of losses over gains.</x:v>
      </x:c>
      <x:c r="J88" s="43" t="str">
        <x:v>Tilts valuation toward avoiding losses and can alter risk choice, exchange, and resistance to change.</x:v>
      </x:c>
      <x:c r="K88" s="43" t="str">
        <x:v>Option attributes; framing; stakes; affect; reference outcomes; time horizon; uncertainty</x:v>
      </x:c>
      <x:c r="L88" s="43" t="str">
        <x:v>Choice; risk taking; delay; effort allocation; switching; persistence with defaults</x:v>
      </x:c>
      <x:c r="M88" s="43" t="str">
        <x:v>Domain, wealth or resource state, experience, numeracy, affect, time pressure, and elicitation method.</x:v>
      </x:c>
      <x:c r="N88" s="43" t="str">
        <x:v>Reference Point; Probability Weighting; Mood Valence; Decision Conflict</x:v>
      </x:c>
      <x:c r="O88" s="43" t="str">
        <x:v>Moderate</x:v>
      </x:c>
      <x:c r="P88" s="43" t="str">
        <x:v>Moderate</x:v>
      </x:c>
      <x:c r="Q88" s="43" t="str">
        <x:v>Minutes–Hours; Days–Weeks</x:v>
      </x:c>
      <x:c r="R88" s="43" t="str">
        <x:v>Seconds–Minutes</x:v>
      </x:c>
      <x:c r="S88" s="43" t="str">
        <x:v>Can shift with framing and state; stable individual differences are only partly persistent.</x:v>
      </x:c>
      <x:c r="T88" s="43" t="str">
        <x:v>Mixed-gamble choices; selling/buying asymmetry; model parameter</x:v>
      </x:c>
      <x:c r="U88" s="43" t="str">
        <x:v>Incentivized or hypothetical choice tasks; adaptive titration; model-based parameter estimation; structured self-report</x:v>
      </x:c>
      <x:c r="V88" s="43" t="str">
        <x:v>Moderate</x:v>
      </x:c>
      <x:c r="W88" s="43" t="str">
        <x:v>Estimated parameters can be task-, domain-, stake-, and model-dependent; descriptive regularities are not fixed universal traits.</x:v>
      </x:c>
      <x:c r="X88" s="43" t="str">
        <x:v>Strong</x:v>
      </x:c>
      <x:c r="Y88" s="43" t="str">
        <x:v>Supported by established theory, validated measures, and converging review, meta-analytic, experimental, or longitudinal evidence. Magnitude and behavioral direction remain conditional on context. Representative records: SRC113; SRC187.</x:v>
      </x:c>
      <x:c r="Z88" s="43" t="str">
        <x:v>Treating named biases as immutable defects or assuming one parameter estimated in one task transfers unchanged to all decisions.</x:v>
      </x:c>
      <x:c r="AA88" s="43" t="str">
        <x:v>SRC113; SRC187</x:v>
      </x:c>
    </x:row>
    <x:row r="89" ht="72" customHeight="1">
      <x:c r="A89" s="43" t="str">
        <x:v>PSY-085</x:v>
      </x:c>
      <x:c r="B89" s="43" t="str">
        <x:v>Reference Point</x:v>
      </x:c>
      <x:c r="C89" s="43" t="str">
        <x:v>Status quo reference; comparison baseline</x:v>
      </x:c>
      <x:c r="D89" s="43" t="str">
        <x:v>Psychological</x:v>
      </x:c>
      <x:c r="E89" s="43" t="str">
        <x:v>Decision Valuation Across Risk, Time &amp; Effort</x:v>
      </x:c>
      <x:c r="F89" s="43" t="str">
        <x:v>The outcome level currently used as the baseline against which gains and losses are psychologically evaluated.</x:v>
      </x:c>
      <x:c r="G89" s="43" t="str">
        <x:v>Magnitude / level</x:v>
      </x:c>
      <x:c r="H89" s="43" t="str">
        <x:v>Outcome units; status quo, expectation, goal, or social-comparison baseline</x:v>
      </x:c>
      <x:c r="I89" s="43" t="str">
        <x:v>Higher values = a higher comparison baseline; effects depend on outcomes relative to it.</x:v>
      </x:c>
      <x:c r="J89" s="43" t="str">
        <x:v>Reclassifies identical outcomes as gains or losses and changes marginal subjective value.</x:v>
      </x:c>
      <x:c r="K89" s="43" t="str">
        <x:v>Option attributes; framing; stakes; affect; reference outcomes; time horizon; uncertainty</x:v>
      </x:c>
      <x:c r="L89" s="43" t="str">
        <x:v>Choice; risk taking; delay; effort allocation; switching; persistence with defaults</x:v>
      </x:c>
      <x:c r="M89" s="43" t="str">
        <x:v>Domain, wealth or resource state, experience, numeracy, affect, time pressure, and elicitation method.</x:v>
      </x:c>
      <x:c r="N89" s="43" t="str">
        <x:v>Reference Point; Probability Weighting; Mood Valence; Decision Conflict</x:v>
      </x:c>
      <x:c r="O89" s="43" t="str">
        <x:v>Moderate</x:v>
      </x:c>
      <x:c r="P89" s="43" t="str">
        <x:v>Moderate</x:v>
      </x:c>
      <x:c r="Q89" s="43" t="str">
        <x:v>Minutes–Hours; Days–Weeks</x:v>
      </x:c>
      <x:c r="R89" s="43" t="str">
        <x:v>Seconds–Minutes</x:v>
      </x:c>
      <x:c r="S89" s="43" t="str">
        <x:v>Can shift with framing and state; stable individual differences are only partly persistent.</x:v>
      </x:c>
      <x:c r="T89" s="43" t="str">
        <x:v>Stated expectation; status quo; gain/loss classification; model estimate</x:v>
      </x:c>
      <x:c r="U89" s="43" t="str">
        <x:v>Incentivized or hypothetical choice tasks; adaptive titration; model-based parameter estimation; structured self-report</x:v>
      </x:c>
      <x:c r="V89" s="43" t="str">
        <x:v>Moderate</x:v>
      </x:c>
      <x:c r="W89" s="43" t="str">
        <x:v>Estimated parameters can be task-, domain-, stake-, and model-dependent; descriptive regularities are not fixed universal traits.</x:v>
      </x:c>
      <x:c r="X89" s="43" t="str">
        <x:v>Strong</x:v>
      </x:c>
      <x:c r="Y89" s="43" t="str">
        <x:v>Supported by established theory, validated measures, and converging review, meta-analytic, experimental, or longitudinal evidence. Magnitude and behavioral direction remain conditional on context. Representative records: SRC113; SRC187.</x:v>
      </x:c>
      <x:c r="Z89" s="43" t="str">
        <x:v>Treating named biases as immutable defects or assuming one parameter estimated in one task transfers unchanged to all decisions.</x:v>
      </x:c>
      <x:c r="AA89" s="43" t="str">
        <x:v>SRC113; SRC187</x:v>
      </x:c>
    </x:row>
    <x:row r="90" ht="72" customHeight="1">
      <x:c r="A90" s="43" t="str">
        <x:v>PSY-086</x:v>
      </x:c>
      <x:c r="B90" s="43" t="str">
        <x:v>Risk Preference</x:v>
      </x:c>
      <x:c r="C90" s="43" t="str">
        <x:v>Risk tolerance; risk aversion</x:v>
      </x:c>
      <x:c r="D90" s="43" t="str">
        <x:v>Psychological</x:v>
      </x:c>
      <x:c r="E90" s="43" t="str">
        <x:v>Decision Valuation Across Risk, Time &amp; Effort</x:v>
      </x:c>
      <x:c r="F90" s="43" t="str">
        <x:v>The person's relative preference for uncertain versus certain outcomes within a specified domain and state.</x:v>
      </x:c>
      <x:c r="G90" s="43" t="str">
        <x:v>Bipolar continuous</x:v>
      </x:c>
      <x:c r="H90" s="43" t="str">
        <x:v>Risk averse–neutral–risk seeking; utility curvature estimate</x:v>
      </x:c>
      <x:c r="I90" s="43" t="str">
        <x:v>Negative values = risk avoidance; positive values = risk seeking, under the defined convention.</x:v>
      </x:c>
      <x:c r="J90" s="43" t="str">
        <x:v>Changes the subjective value assigned to outcome variability and uncertainty.</x:v>
      </x:c>
      <x:c r="K90" s="43" t="str">
        <x:v>Option attributes; framing; stakes; affect; reference outcomes; time horizon; uncertainty</x:v>
      </x:c>
      <x:c r="L90" s="43" t="str">
        <x:v>Choice; risk taking; delay; effort allocation; switching; persistence with defaults</x:v>
      </x:c>
      <x:c r="M90" s="43" t="str">
        <x:v>Domain, wealth or resource state, experience, numeracy, affect, time pressure, and elicitation method.</x:v>
      </x:c>
      <x:c r="N90" s="43" t="str">
        <x:v>Reference Point; Probability Weighting; Mood Valence; Decision Conflict</x:v>
      </x:c>
      <x:c r="O90" s="43" t="str">
        <x:v>Moderate</x:v>
      </x:c>
      <x:c r="P90" s="43" t="str">
        <x:v>Moderate</x:v>
      </x:c>
      <x:c r="Q90" s="43" t="str">
        <x:v>Minutes–Hours; Days–Weeks</x:v>
      </x:c>
      <x:c r="R90" s="43" t="str">
        <x:v>Seconds–Minutes</x:v>
      </x:c>
      <x:c r="S90" s="43" t="str">
        <x:v>Can shift with framing and state; stable individual differences are only partly persistent.</x:v>
      </x:c>
      <x:c r="T90" s="43" t="str">
        <x:v>Lottery choices; certainty equivalents; risk-taking behavior</x:v>
      </x:c>
      <x:c r="U90" s="43" t="str">
        <x:v>Incentivized or hypothetical choice tasks; adaptive titration; model-based parameter estimation; structured self-report</x:v>
      </x:c>
      <x:c r="V90" s="43" t="str">
        <x:v>Moderate</x:v>
      </x:c>
      <x:c r="W90" s="43" t="str">
        <x:v>Estimated parameters can be task-, domain-, stake-, and model-dependent; descriptive regularities are not fixed universal traits.</x:v>
      </x:c>
      <x:c r="X90" s="43" t="str">
        <x:v>Strong</x:v>
      </x:c>
      <x:c r="Y90" s="43" t="str">
        <x:v>Supported by established theory, validated measures, and converging review, meta-analytic, experimental, or longitudinal evidence. Magnitude and behavioral direction remain conditional on context. Representative records: SRC113; SRC188.</x:v>
      </x:c>
      <x:c r="Z90" s="43" t="str">
        <x:v>Treating named biases as immutable defects or assuming one parameter estimated in one task transfers unchanged to all decisions.</x:v>
      </x:c>
      <x:c r="AA90" s="43" t="str">
        <x:v>SRC113; SRC188</x:v>
      </x:c>
    </x:row>
    <x:row r="91" ht="72" customHeight="1">
      <x:c r="A91" s="43" t="str">
        <x:v>PSY-087</x:v>
      </x:c>
      <x:c r="B91" s="43" t="str">
        <x:v>Probability Weighting</x:v>
      </x:c>
      <x:c r="C91" s="43" t="str">
        <x:v>Subjective probability weighting; decision weight</x:v>
      </x:c>
      <x:c r="D91" s="43" t="str">
        <x:v>Psychological</x:v>
      </x:c>
      <x:c r="E91" s="43" t="str">
        <x:v>Decision Valuation Across Risk, Time &amp; Effort</x:v>
      </x:c>
      <x:c r="F91" s="43" t="str">
        <x:v>The transformation by which objective or stated probabilities receive greater or lesser decision weight.</x:v>
      </x:c>
      <x:c r="G91" s="43" t="str">
        <x:v>Other structured type</x:v>
      </x:c>
      <x:c r="H91" s="43" t="str">
        <x:v>Estimated weighting function or probability-specific decision weights</x:v>
      </x:c>
      <x:c r="I91" s="43" t="str">
        <x:v>Values indicate overweighting or underweighting relative to identity weighting.</x:v>
      </x:c>
      <x:c r="J91" s="43" t="str">
        <x:v>Changes the impact of unlikely and likely outcomes on subjective valuation.</x:v>
      </x:c>
      <x:c r="K91" s="43" t="str">
        <x:v>Option attributes; framing; stakes; affect; reference outcomes; time horizon; uncertainty</x:v>
      </x:c>
      <x:c r="L91" s="43" t="str">
        <x:v>Choice; risk taking; delay; effort allocation; switching; persistence with defaults</x:v>
      </x:c>
      <x:c r="M91" s="43" t="str">
        <x:v>Domain, wealth or resource state, experience, numeracy, affect, time pressure, and elicitation method.</x:v>
      </x:c>
      <x:c r="N91" s="43" t="str">
        <x:v>Reference Point; Probability Weighting; Mood Valence; Decision Conflict</x:v>
      </x:c>
      <x:c r="O91" s="43" t="str">
        <x:v>Moderate</x:v>
      </x:c>
      <x:c r="P91" s="43" t="str">
        <x:v>Moderate</x:v>
      </x:c>
      <x:c r="Q91" s="43" t="str">
        <x:v>Minutes–Hours; Days–Weeks</x:v>
      </x:c>
      <x:c r="R91" s="43" t="str">
        <x:v>Seconds–Minutes</x:v>
      </x:c>
      <x:c r="S91" s="43" t="str">
        <x:v>Can shift with framing and state; stable individual differences are only partly persistent.</x:v>
      </x:c>
      <x:c r="T91" s="43" t="str">
        <x:v>Lottery choices; probability-matching task; fitted weighting parameters</x:v>
      </x:c>
      <x:c r="U91" s="43" t="str">
        <x:v>Incentivized or hypothetical choice tasks; adaptive titration; model-based parameter estimation; structured self-report</x:v>
      </x:c>
      <x:c r="V91" s="43" t="str">
        <x:v>Moderate</x:v>
      </x:c>
      <x:c r="W91" s="43" t="str">
        <x:v>Estimated parameters can be task-, domain-, stake-, and model-dependent; descriptive regularities are not fixed universal traits.</x:v>
      </x:c>
      <x:c r="X91" s="43" t="str">
        <x:v>Strong</x:v>
      </x:c>
      <x:c r="Y91" s="43" t="str">
        <x:v>Supported by established theory, validated measures, and converging review, meta-analytic, experimental, or longitudinal evidence. Magnitude and behavioral direction remain conditional on context. Representative records: SRC113; SRC187.</x:v>
      </x:c>
      <x:c r="Z91" s="43" t="str">
        <x:v>Treating named biases as immutable defects or assuming one parameter estimated in one task transfers unchanged to all decisions.</x:v>
      </x:c>
      <x:c r="AA91" s="43" t="str">
        <x:v>SRC113; SRC187</x:v>
      </x:c>
    </x:row>
    <x:row r="92" ht="72" customHeight="1">
      <x:c r="A92" s="43" t="str">
        <x:v>PSY-088</x:v>
      </x:c>
      <x:c r="B92" s="43" t="str">
        <x:v>Ambiguity Aversion</x:v>
      </x:c>
      <x:c r="C92" s="43" t="str">
        <x:v>Preference against unknown probabilities; uncertainty aversion</x:v>
      </x:c>
      <x:c r="D92" s="43" t="str">
        <x:v>Psychological</x:v>
      </x:c>
      <x:c r="E92" s="43" t="str">
        <x:v>Decision Valuation Across Risk, Time &amp; Effort</x:v>
      </x:c>
      <x:c r="F92" s="43" t="str">
        <x:v>The degree to which options with unknown or imprecise probabilities are valued less than comparable options with known probabilities.</x:v>
      </x:c>
      <x:c r="G92" s="43" t="str">
        <x:v>Magnitude / level</x:v>
      </x:c>
      <x:c r="H92" s="43" t="str">
        <x:v>Choice premium; ambiguity-aversion parameter; low–high scale</x:v>
      </x:c>
      <x:c r="I92" s="43" t="str">
        <x:v>Higher values = stronger avoidance of probability ambiguity.</x:v>
      </x:c>
      <x:c r="J92" s="43" t="str">
        <x:v>Adds a subjective penalty to options whose outcome probabilities are unclear.</x:v>
      </x:c>
      <x:c r="K92" s="43" t="str">
        <x:v>Option attributes; framing; stakes; affect; reference outcomes; time horizon; uncertainty</x:v>
      </x:c>
      <x:c r="L92" s="43" t="str">
        <x:v>Choice; risk taking; delay; effort allocation; switching; persistence with defaults</x:v>
      </x:c>
      <x:c r="M92" s="43" t="str">
        <x:v>Domain, wealth or resource state, experience, numeracy, affect, time pressure, and elicitation method.</x:v>
      </x:c>
      <x:c r="N92" s="43" t="str">
        <x:v>Reference Point; Probability Weighting; Mood Valence; Decision Conflict</x:v>
      </x:c>
      <x:c r="O92" s="43" t="str">
        <x:v>Moderate</x:v>
      </x:c>
      <x:c r="P92" s="43" t="str">
        <x:v>Moderate</x:v>
      </x:c>
      <x:c r="Q92" s="43" t="str">
        <x:v>Minutes–Hours; Days–Weeks</x:v>
      </x:c>
      <x:c r="R92" s="43" t="str">
        <x:v>Seconds–Minutes</x:v>
      </x:c>
      <x:c r="S92" s="43" t="str">
        <x:v>Can shift with framing and state; stable individual differences are only partly persistent.</x:v>
      </x:c>
      <x:c r="T92" s="43" t="str">
        <x:v>Ellsberg-type choices; ambiguity premium; information-seeking choice</x:v>
      </x:c>
      <x:c r="U92" s="43" t="str">
        <x:v>Incentivized or hypothetical choice tasks; adaptive titration; model-based parameter estimation; structured self-report</x:v>
      </x:c>
      <x:c r="V92" s="43" t="str">
        <x:v>Moderate</x:v>
      </x:c>
      <x:c r="W92" s="43" t="str">
        <x:v>Estimated parameters can be task-, domain-, stake-, and model-dependent; descriptive regularities are not fixed universal traits.</x:v>
      </x:c>
      <x:c r="X92" s="43" t="str">
        <x:v>Strong</x:v>
      </x:c>
      <x:c r="Y92" s="43" t="str">
        <x:v>Supported by established theory, validated measures, and converging review, meta-analytic, experimental, or longitudinal evidence. Magnitude and behavioral direction remain conditional on context. Representative records: SRC189; SRC123.</x:v>
      </x:c>
      <x:c r="Z92" s="43" t="str">
        <x:v>Treating named biases as immutable defects or assuming one parameter estimated in one task transfers unchanged to all decisions.</x:v>
      </x:c>
      <x:c r="AA92" s="43" t="str">
        <x:v>SRC189; SRC123</x:v>
      </x:c>
    </x:row>
    <x:row r="93" ht="72" customHeight="1">
      <x:c r="A93" s="43" t="str">
        <x:v>PSY-089</x:v>
      </x:c>
      <x:c r="B93" s="43" t="str">
        <x:v>Delay Discounting</x:v>
      </x:c>
      <x:c r="C93" s="43" t="str">
        <x:v>Temporal discount rate; delayed-reward discounting</x:v>
      </x:c>
      <x:c r="D93" s="43" t="str">
        <x:v>Psychological</x:v>
      </x:c>
      <x:c r="E93" s="43" t="str">
        <x:v>Decision Valuation Across Risk, Time &amp; Effort</x:v>
      </x:c>
      <x:c r="F93" s="43" t="str">
        <x:v>The rate at which the subjective value of an outcome decreases as delay to receipt increases.</x:v>
      </x:c>
      <x:c r="G93" s="43" t="str">
        <x:v>Rate</x:v>
      </x:c>
      <x:c r="H93" s="43" t="str">
        <x:v>Hyperbolic or exponential discount parameter; indifference points</x:v>
      </x:c>
      <x:c r="I93" s="43" t="str">
        <x:v>Higher values = steeper devaluation of delayed outcomes.</x:v>
      </x:c>
      <x:c r="J93" s="43" t="str">
        <x:v>Shifts preference toward sooner outcomes and away from delayed consequences.</x:v>
      </x:c>
      <x:c r="K93" s="43" t="str">
        <x:v>Option attributes; framing; stakes; affect; reference outcomes; time horizon; uncertainty</x:v>
      </x:c>
      <x:c r="L93" s="43" t="str">
        <x:v>Choice; risk taking; delay; effort allocation; switching; persistence with defaults</x:v>
      </x:c>
      <x:c r="M93" s="43" t="str">
        <x:v>Domain, wealth or resource state, experience, numeracy, affect, time pressure, and elicitation method.</x:v>
      </x:c>
      <x:c r="N93" s="43" t="str">
        <x:v>Reference Point; Probability Weighting; Mood Valence; Decision Conflict</x:v>
      </x:c>
      <x:c r="O93" s="43" t="str">
        <x:v>Moderate</x:v>
      </x:c>
      <x:c r="P93" s="43" t="str">
        <x:v>Moderate</x:v>
      </x:c>
      <x:c r="Q93" s="43" t="str">
        <x:v>Minutes–Hours; Days–Weeks</x:v>
      </x:c>
      <x:c r="R93" s="43" t="str">
        <x:v>Seconds–Minutes</x:v>
      </x:c>
      <x:c r="S93" s="43" t="str">
        <x:v>Can shift with framing and state; stable individual differences are only partly persistent.</x:v>
      </x:c>
      <x:c r="T93" s="43" t="str">
        <x:v>Intertemporal choices; indifference points; fitted discount parameter</x:v>
      </x:c>
      <x:c r="U93" s="43" t="str">
        <x:v>Incentivized or hypothetical choice tasks; adaptive titration; model-based parameter estimation; structured self-report</x:v>
      </x:c>
      <x:c r="V93" s="43" t="str">
        <x:v>Moderate</x:v>
      </x:c>
      <x:c r="W93" s="43" t="str">
        <x:v>Estimated parameters can be task-, domain-, stake-, and model-dependent; descriptive regularities are not fixed universal traits.</x:v>
      </x:c>
      <x:c r="X93" s="43" t="str">
        <x:v>Strong</x:v>
      </x:c>
      <x:c r="Y93" s="43" t="str">
        <x:v>Supported by established theory, validated measures, and converging review, meta-analytic, experimental, or longitudinal evidence. Magnitude and behavioral direction remain conditional on context. Representative records: SRC126; SRC190.</x:v>
      </x:c>
      <x:c r="Z93" s="43" t="str">
        <x:v>Treating named biases as immutable defects or assuming one parameter estimated in one task transfers unchanged to all decisions.</x:v>
      </x:c>
      <x:c r="AA93" s="43" t="str">
        <x:v>SRC126; SRC190</x:v>
      </x:c>
    </x:row>
    <x:row r="94" ht="72" customHeight="1">
      <x:c r="A94" s="43" t="str">
        <x:v>PSY-090</x:v>
      </x:c>
      <x:c r="B94" s="43" t="str">
        <x:v>Present Bias</x:v>
      </x:c>
      <x:c r="C94" s="43" t="str">
        <x:v>Immediate-reward bias; quasi-hyperbolic present bias</x:v>
      </x:c>
      <x:c r="D94" s="43" t="str">
        <x:v>Psychological</x:v>
      </x:c>
      <x:c r="E94" s="43" t="str">
        <x:v>Decision Valuation Across Risk, Time &amp; Effort</x:v>
      </x:c>
      <x:c r="F94" s="43" t="str">
        <x:v>The extra weight assigned to outcomes available now relative to outcomes delayed by any positive amount.</x:v>
      </x:c>
      <x:c r="G94" s="43" t="str">
        <x:v>Magnitude / level</x:v>
      </x:c>
      <x:c r="H94" s="43" t="str">
        <x:v>Beta parameter; preference reversal across immediate versus delayed choices</x:v>
      </x:c>
      <x:c r="I94" s="43" t="str">
        <x:v>Higher present bias = greater extra preference for immediate outcomes.</x:v>
      </x:c>
      <x:c r="J94" s="43" t="str">
        <x:v>Creates time-inconsistent preferences and weakens follow-through on earlier plans.</x:v>
      </x:c>
      <x:c r="K94" s="43" t="str">
        <x:v>Option attributes; framing; stakes; affect; reference outcomes; time horizon; uncertainty</x:v>
      </x:c>
      <x:c r="L94" s="43" t="str">
        <x:v>Choice; risk taking; delay; effort allocation; switching; persistence with defaults</x:v>
      </x:c>
      <x:c r="M94" s="43" t="str">
        <x:v>Domain, wealth or resource state, experience, numeracy, affect, time pressure, and elicitation method.</x:v>
      </x:c>
      <x:c r="N94" s="43" t="str">
        <x:v>Reference Point; Probability Weighting; Mood Valence; Decision Conflict</x:v>
      </x:c>
      <x:c r="O94" s="43" t="str">
        <x:v>Moderate</x:v>
      </x:c>
      <x:c r="P94" s="43" t="str">
        <x:v>Moderate</x:v>
      </x:c>
      <x:c r="Q94" s="43" t="str">
        <x:v>Minutes–Hours; Days–Weeks</x:v>
      </x:c>
      <x:c r="R94" s="43" t="str">
        <x:v>Seconds–Minutes</x:v>
      </x:c>
      <x:c r="S94" s="43" t="str">
        <x:v>Can shift with framing and state; stable individual differences are only partly persistent.</x:v>
      </x:c>
      <x:c r="T94" s="43" t="str">
        <x:v>Preference reversal; immediate-choice premium; fitted beta parameter</x:v>
      </x:c>
      <x:c r="U94" s="43" t="str">
        <x:v>Incentivized or hypothetical choice tasks; adaptive titration; model-based parameter estimation; structured self-report</x:v>
      </x:c>
      <x:c r="V94" s="43" t="str">
        <x:v>Moderate</x:v>
      </x:c>
      <x:c r="W94" s="43" t="str">
        <x:v>Estimated parameters can be task-, domain-, stake-, and model-dependent; descriptive regularities are not fixed universal traits.</x:v>
      </x:c>
      <x:c r="X94" s="43" t="str">
        <x:v>Strong</x:v>
      </x:c>
      <x:c r="Y94" s="43" t="str">
        <x:v>Supported by established theory, validated measures, and converging review, meta-analytic, experimental, or longitudinal evidence. Magnitude and behavioral direction remain conditional on context. Representative records: SRC126; SRC190.</x:v>
      </x:c>
      <x:c r="Z94" s="43" t="str">
        <x:v>Treating named biases as immutable defects or assuming one parameter estimated in one task transfers unchanged to all decisions.</x:v>
      </x:c>
      <x:c r="AA94" s="43" t="str">
        <x:v>SRC126; SRC190</x:v>
      </x:c>
    </x:row>
    <x:row r="95" ht="72" customHeight="1">
      <x:c r="A95" s="43" t="str">
        <x:v>PSY-091</x:v>
      </x:c>
      <x:c r="B95" s="43" t="str">
        <x:v>Effort Discounting</x:v>
      </x:c>
      <x:c r="C95" s="43" t="str">
        <x:v>Effort cost sensitivity; effort-based discounting</x:v>
      </x:c>
      <x:c r="D95" s="43" t="str">
        <x:v>Psychological</x:v>
      </x:c>
      <x:c r="E95" s="43" t="str">
        <x:v>Decision Valuation Across Risk, Time &amp; Effort</x:v>
      </x:c>
      <x:c r="F95" s="43" t="str">
        <x:v>The rate at which the subjective value of an outcome decreases as required physical or cognitive effort increases.</x:v>
      </x:c>
      <x:c r="G95" s="43" t="str">
        <x:v>Rate</x:v>
      </x:c>
      <x:c r="H95" s="43" t="str">
        <x:v>Effort-discount parameter; effort indifference points</x:v>
      </x:c>
      <x:c r="I95" s="43" t="str">
        <x:v>Higher values = steeper devaluation as required effort increases.</x:v>
      </x:c>
      <x:c r="J95" s="43" t="str">
        <x:v>Reduces selection and persistence of effortful options unless reward, identity, or goal value offsets the cost.</x:v>
      </x:c>
      <x:c r="K95" s="43" t="str">
        <x:v>Option attributes; framing; stakes; affect; reference outcomes; time horizon; uncertainty</x:v>
      </x:c>
      <x:c r="L95" s="43" t="str">
        <x:v>Choice; risk taking; delay; effort allocation; switching; persistence with defaults</x:v>
      </x:c>
      <x:c r="M95" s="43" t="str">
        <x:v>Domain, wealth or resource state, experience, numeracy, affect, time pressure, and elicitation method.</x:v>
      </x:c>
      <x:c r="N95" s="43" t="str">
        <x:v>Reference Point; Probability Weighting; Mood Valence; Decision Conflict</x:v>
      </x:c>
      <x:c r="O95" s="43" t="str">
        <x:v>Moderate</x:v>
      </x:c>
      <x:c r="P95" s="43" t="str">
        <x:v>Moderate</x:v>
      </x:c>
      <x:c r="Q95" s="43" t="str">
        <x:v>Minutes–Hours; Days–Weeks</x:v>
      </x:c>
      <x:c r="R95" s="43" t="str">
        <x:v>Seconds–Minutes</x:v>
      </x:c>
      <x:c r="S95" s="43" t="str">
        <x:v>Can shift with framing and state; stable individual differences are only partly persistent.</x:v>
      </x:c>
      <x:c r="T95" s="43" t="str">
        <x:v>Effort-choice task; persistence; fitted effort cost</x:v>
      </x:c>
      <x:c r="U95" s="43" t="str">
        <x:v>Incentivized or hypothetical choice tasks; adaptive titration; model-based parameter estimation; structured self-report</x:v>
      </x:c>
      <x:c r="V95" s="43" t="str">
        <x:v>Moderate</x:v>
      </x:c>
      <x:c r="W95" s="43" t="str">
        <x:v>Estimated parameters can be task-, domain-, stake-, and model-dependent; descriptive regularities are not fixed universal traits.</x:v>
      </x:c>
      <x:c r="X95" s="43" t="str">
        <x:v>Moderate</x:v>
      </x:c>
      <x:c r="Y95" s="43" t="str">
        <x:v>Scientifically defensible with substantial supporting literature, while causal identification, construct boundaries, measurement, or transferability remain context dependent. Representative records: SRC191; SRC118.</x:v>
      </x:c>
      <x:c r="Z95" s="43" t="str">
        <x:v>Treating named biases as immutable defects or assuming one parameter estimated in one task transfers unchanged to all decisions.</x:v>
      </x:c>
      <x:c r="AA95" s="43" t="str">
        <x:v>SRC191; SRC118</x:v>
      </x:c>
    </x:row>
    <x:row r="96" ht="72" customHeight="1">
      <x:c r="A96" s="43" t="str">
        <x:v>PSY-092</x:v>
      </x:c>
      <x:c r="B96" s="43" t="str">
        <x:v>Decision Conflict</x:v>
      </x:c>
      <x:c r="C96" s="43" t="str">
        <x:v>Choice conflict; decisional conflict</x:v>
      </x:c>
      <x:c r="D96" s="43" t="str">
        <x:v>Psychological</x:v>
      </x:c>
      <x:c r="E96" s="43" t="str">
        <x:v>Decision Valuation Across Risk, Time &amp; Effort</x:v>
      </x:c>
      <x:c r="F96" s="43" t="str">
        <x:v>The degree of difficulty or tension produced by similarly valued, incompatible options or uncertain tradeoffs.</x:v>
      </x:c>
      <x:c r="G96" s="43" t="str">
        <x:v>Magnitude / level</x:v>
      </x:c>
      <x:c r="H96" s="43" t="str">
        <x:v>Low–high conflict; response-time or indecision index</x:v>
      </x:c>
      <x:c r="I96" s="43" t="str">
        <x:v>Higher values = greater conflict among active options.</x:v>
      </x:c>
      <x:c r="J96" s="43" t="str">
        <x:v>Delays choice, increases information search, and raises susceptibility to defaults or avoidance.</x:v>
      </x:c>
      <x:c r="K96" s="43" t="str">
        <x:v>Option attributes; framing; stakes; affect; reference outcomes; time horizon; uncertainty</x:v>
      </x:c>
      <x:c r="L96" s="43" t="str">
        <x:v>Choice; risk taking; delay; effort allocation; switching; persistence with defaults</x:v>
      </x:c>
      <x:c r="M96" s="43" t="str">
        <x:v>Domain, wealth or resource state, experience, numeracy, affect, time pressure, and elicitation method.</x:v>
      </x:c>
      <x:c r="N96" s="43" t="str">
        <x:v>Reference Point; Probability Weighting; Mood Valence; Decision Conflict</x:v>
      </x:c>
      <x:c r="O96" s="43" t="str">
        <x:v>Moderate</x:v>
      </x:c>
      <x:c r="P96" s="43" t="str">
        <x:v>High</x:v>
      </x:c>
      <x:c r="Q96" s="43" t="str">
        <x:v>Seconds–Minutes</x:v>
      </x:c>
      <x:c r="R96" s="43" t="str">
        <x:v>Seconds–Minutes</x:v>
      </x:c>
      <x:c r="S96" s="43" t="str">
        <x:v>Usually task-bound and rapidly reversible, although learning and fatigue can produce longer effects.</x:v>
      </x:c>
      <x:c r="T96" s="43" t="str">
        <x:v>Long response time; reversals; indecision; conflict rating</x:v>
      </x:c>
      <x:c r="U96" s="43" t="str">
        <x:v>Incentivized or hypothetical choice tasks; adaptive titration; model-based parameter estimation; structured self-report</x:v>
      </x:c>
      <x:c r="V96" s="43" t="str">
        <x:v>Moderate</x:v>
      </x:c>
      <x:c r="W96" s="43" t="str">
        <x:v>Estimated parameters can be task-, domain-, stake-, and model-dependent; descriptive regularities are not fixed universal traits.</x:v>
      </x:c>
      <x:c r="X96" s="43" t="str">
        <x:v>Moderate</x:v>
      </x:c>
      <x:c r="Y96" s="43" t="str">
        <x:v>Scientifically defensible with substantial supporting literature, while causal identification, construct boundaries, measurement, or transferability remain context dependent. Representative records: SRC192; SRC115.</x:v>
      </x:c>
      <x:c r="Z96" s="43" t="str">
        <x:v>Treating named biases as immutable defects or assuming one parameter estimated in one task transfers unchanged to all decisions.</x:v>
      </x:c>
      <x:c r="AA96" s="43" t="str">
        <x:v>SRC192; SRC115</x:v>
      </x:c>
    </x:row>
    <x:row r="97" ht="72" customHeight="1">
      <x:c r="A97" s="43" t="str">
        <x:v>PSY-093</x:v>
      </x:c>
      <x:c r="B97" s="43" t="str">
        <x:v>Default Option Preference</x:v>
      </x:c>
      <x:c r="C97" s="43" t="str">
        <x:v>Default effect susceptibility; status quo preference</x:v>
      </x:c>
      <x:c r="D97" s="43" t="str">
        <x:v>Psychological</x:v>
      </x:c>
      <x:c r="E97" s="43" t="str">
        <x:v>Decision Valuation Across Risk, Time &amp; Effort</x:v>
      </x:c>
      <x:c r="F97" s="43" t="str">
        <x:v>The degree to which an option's designation as the preselected or status-quo choice increases its subjective preference.</x:v>
      </x:c>
      <x:c r="G97" s="43" t="str">
        <x:v>Magnitude / level</x:v>
      </x:c>
      <x:c r="H97" s="43" t="str">
        <x:v>Choice-rate difference or individual default-susceptibility estimate</x:v>
      </x:c>
      <x:c r="I97" s="43" t="str">
        <x:v>Higher values = stronger preference shift toward the default.</x:v>
      </x:c>
      <x:c r="J97" s="43" t="str">
        <x:v>Defaults imply endorsement, reduce effort, and establish a reference point, increasing passive selection.</x:v>
      </x:c>
      <x:c r="K97" s="43" t="str">
        <x:v>Option attributes; framing; stakes; affect; reference outcomes; time horizon; uncertainty</x:v>
      </x:c>
      <x:c r="L97" s="43" t="str">
        <x:v>Choice; risk taking; delay; effort allocation; switching; persistence with defaults</x:v>
      </x:c>
      <x:c r="M97" s="43" t="str">
        <x:v>Domain, wealth or resource state, experience, numeracy, affect, time pressure, and elicitation method.</x:v>
      </x:c>
      <x:c r="N97" s="43" t="str">
        <x:v>Reference Point; Probability Weighting; Mood Valence; Decision Conflict</x:v>
      </x:c>
      <x:c r="O97" s="43" t="str">
        <x:v>Moderate</x:v>
      </x:c>
      <x:c r="P97" s="43" t="str">
        <x:v>Moderate</x:v>
      </x:c>
      <x:c r="Q97" s="43" t="str">
        <x:v>Minutes–Hours; Days–Weeks</x:v>
      </x:c>
      <x:c r="R97" s="43" t="str">
        <x:v>Seconds–Minutes</x:v>
      </x:c>
      <x:c r="S97" s="43" t="str">
        <x:v>Can shift with framing and state; stable individual differences are only partly persistent.</x:v>
      </x:c>
      <x:c r="T97" s="43" t="str">
        <x:v>Default uptake; opt-out versus opt-in difference; switching reluctance</x:v>
      </x:c>
      <x:c r="U97" s="43" t="str">
        <x:v>Incentivized or hypothetical choice tasks; adaptive titration; model-based parameter estimation; structured self-report</x:v>
      </x:c>
      <x:c r="V97" s="43" t="str">
        <x:v>Moderate</x:v>
      </x:c>
      <x:c r="W97" s="43" t="str">
        <x:v>Estimated parameters can be task-, domain-, stake-, and model-dependent; descriptive regularities are not fixed universal traits.</x:v>
      </x:c>
      <x:c r="X97" s="43" t="str">
        <x:v>Strong</x:v>
      </x:c>
      <x:c r="Y97" s="43" t="str">
        <x:v>Supported by established theory, validated measures, and converging review, meta-analytic, experimental, or longitudinal evidence. Magnitude and behavioral direction remain conditional on context. Representative records: SRC193; SRC113.</x:v>
      </x:c>
      <x:c r="Z97" s="43" t="str">
        <x:v>Treating named biases as immutable defects or assuming one parameter estimated in one task transfers unchanged to all decisions.</x:v>
      </x:c>
      <x:c r="AA97" s="43" t="str">
        <x:v>SRC193; SRC113</x:v>
      </x:c>
    </x:row>
    <x:row r="98" ht="72" customHeight="1">
      <x:c r="A98" s="43" t="str">
        <x:v>PSY-094</x:v>
      </x:c>
      <x:c r="B98" s="43" t="str">
        <x:v>Behavioral Self-Identity</x:v>
      </x:c>
      <x:c r="C98" s="43" t="str">
        <x:v>Action identity; identity-based behavior belief</x:v>
      </x:c>
      <x:c r="D98" s="43" t="str">
        <x:v>Psychological</x:v>
      </x:c>
      <x:c r="E98" s="43" t="str">
        <x:v>Self-Concept, Identity &amp; Consistency</x:v>
      </x:c>
      <x:c r="F98" s="43" t="str">
        <x:v>The degree to which performing a specified behavior is represented as part of who the person is.</x:v>
      </x:c>
      <x:c r="G98" s="43" t="str">
        <x:v>Unipolar continuous</x:v>
      </x:c>
      <x:c r="H98" s="43" t="str">
        <x:v>Low–high behavior-specific identity scale</x:v>
      </x:c>
      <x:c r="I98" s="43" t="str">
        <x:v>Higher values = stronger incorporation of the behavior into self-concept.</x:v>
      </x:c>
      <x:c r="J98" s="43" t="str">
        <x:v>Increases value and consistency pressure for identity-congruent action.</x:v>
      </x:c>
      <x:c r="K98" s="43" t="str">
        <x:v>Self-reflection; group cues; social feedback; values; role expectations; threat or affirmation</x:v>
      </x:c>
      <x:c r="L98" s="43" t="str">
        <x:v>Identity-congruent choice; defensiveness; affiliation; group action; consistency restoration</x:v>
      </x:c>
      <x:c r="M98" s="43" t="str">
        <x:v>Identity content, context, competing identities, group norms, threat intensity, culture, and perceived efficacy.</x:v>
      </x:c>
      <x:c r="N98" s="43" t="str">
        <x:v>Identity Salience; Identity Centrality; Social Identification Strength; Self-Integrity Threat</x:v>
      </x:c>
      <x:c r="O98" s="43" t="str">
        <x:v>Low</x:v>
      </x:c>
      <x:c r="P98" s="43" t="str">
        <x:v>Low</x:v>
      </x:c>
      <x:c r="Q98" s="43" t="str">
        <x:v>Weeks–Months; Months–Years</x:v>
      </x:c>
      <x:c r="R98" s="43" t="str">
        <x:v>Minutes–Hours</x:v>
      </x:c>
      <x:c r="S98" s="43" t="str">
        <x:v>Salience changes quickly; centrality and fusion may persist for months or years and can be path-dependent.</x:v>
      </x:c>
      <x:c r="T98" s="43" t="str">
        <x:v>Self-description; identity-consistent choices; distress after inconsistency</x:v>
      </x:c>
      <x:c r="U98" s="43" t="str">
        <x:v>Validated identity scales; salience manipulations; narrative or content coding; experience sampling</x:v>
      </x:c>
      <x:c r="V98" s="43" t="str">
        <x:v>Low</x:v>
      </x:c>
      <x:c r="W98" s="43" t="str">
        <x:v>Identity is multidimensional and context-sensitive; group labels do not reveal identification strength, content, or fusion.</x:v>
      </x:c>
      <x:c r="X98" s="43" t="str">
        <x:v>Moderate</x:v>
      </x:c>
      <x:c r="Y98" s="43" t="str">
        <x:v>Scientifically defensible with substantial supporting literature, while causal identification, construct boundaries, measurement, or transferability remain context dependent. Representative records: SRC194; SRC130.</x:v>
      </x:c>
      <x:c r="Z98" s="43" t="str">
        <x:v>Treating demographic membership as an identity driver or assuming a salient identity has one fixed behavioral implication.</x:v>
      </x:c>
      <x:c r="AA98" s="43" t="str">
        <x:v>SRC194; SRC130</x:v>
      </x:c>
    </x:row>
    <x:row r="99" ht="72" customHeight="1">
      <x:c r="A99" s="43" t="str">
        <x:v>PSY-095</x:v>
      </x:c>
      <x:c r="B99" s="43" t="str">
        <x:v>Identity Salience</x:v>
      </x:c>
      <x:c r="C99" s="43" t="str">
        <x:v>Activated identity; momentary identity accessibility</x:v>
      </x:c>
      <x:c r="D99" s="43" t="str">
        <x:v>Psychological</x:v>
      </x:c>
      <x:c r="E99" s="43" t="str">
        <x:v>Self-Concept, Identity &amp; Consistency</x:v>
      </x:c>
      <x:c r="F99" s="43" t="str">
        <x:v>The degree to which a particular identity is currently active and accessible in self-representation.</x:v>
      </x:c>
      <x:c r="G99" s="43" t="str">
        <x:v>Unipolar continuous</x:v>
      </x:c>
      <x:c r="H99" s="43" t="str">
        <x:v>Low–high momentary salience; activation or accessibility index</x:v>
      </x:c>
      <x:c r="I99" s="43" t="str">
        <x:v>Higher values = greater current activation of the identity.</x:v>
      </x:c>
      <x:c r="J99" s="43" t="str">
        <x:v>Increases the weight of identity-linked norms, goals, and interpretations in current choice.</x:v>
      </x:c>
      <x:c r="K99" s="43" t="str">
        <x:v>Self-reflection; group cues; social feedback; values; role expectations; threat or affirmation</x:v>
      </x:c>
      <x:c r="L99" s="43" t="str">
        <x:v>Identity-congruent choice; defensiveness; affiliation; group action; consistency restoration</x:v>
      </x:c>
      <x:c r="M99" s="43" t="str">
        <x:v>Identity content, context, competing identities, group norms, threat intensity, culture, and perceived efficacy.</x:v>
      </x:c>
      <x:c r="N99" s="43" t="str">
        <x:v>Identity Salience; Identity Centrality; Social Identification Strength; Self-Integrity Threat</x:v>
      </x:c>
      <x:c r="O99" s="43" t="str">
        <x:v>High</x:v>
      </x:c>
      <x:c r="P99" s="43" t="str">
        <x:v>Moderate</x:v>
      </x:c>
      <x:c r="Q99" s="43" t="str">
        <x:v>Minutes–Hours</x:v>
      </x:c>
      <x:c r="R99" s="43" t="str">
        <x:v>Seconds–Minutes</x:v>
      </x:c>
      <x:c r="S99" s="43" t="str">
        <x:v>Usually reversible as cues, resources, or interpretations change; repeated appraisal can stabilize.</x:v>
      </x:c>
      <x:c r="T99" s="43" t="str">
        <x:v>Identity-language accessibility; self-categorization; priming response</x:v>
      </x:c>
      <x:c r="U99" s="43" t="str">
        <x:v>Validated identity scales; salience manipulations; narrative or content coding; experience sampling</x:v>
      </x:c>
      <x:c r="V99" s="43" t="str">
        <x:v>Moderate</x:v>
      </x:c>
      <x:c r="W99" s="43" t="str">
        <x:v>Identity is multidimensional and context-sensitive; group labels do not reveal identification strength, content, or fusion.</x:v>
      </x:c>
      <x:c r="X99" s="43" t="str">
        <x:v>Strong</x:v>
      </x:c>
      <x:c r="Y99" s="43" t="str">
        <x:v>Supported by established theory, validated measures, and converging review, meta-analytic, experimental, or longitudinal evidence. Magnitude and behavioral direction remain conditional on context. Representative records: SRC159; SRC160.</x:v>
      </x:c>
      <x:c r="Z99" s="43" t="str">
        <x:v>Treating demographic membership as an identity driver or assuming a salient identity has one fixed behavioral implication.</x:v>
      </x:c>
      <x:c r="AA99" s="43" t="str">
        <x:v>SRC159; SRC160</x:v>
      </x:c>
    </x:row>
    <x:row r="100" ht="72" customHeight="1">
      <x:c r="A100" s="43" t="str">
        <x:v>PSY-096</x:v>
      </x:c>
      <x:c r="B100" s="43" t="str">
        <x:v>Identity Centrality</x:v>
      </x:c>
      <x:c r="C100" s="43" t="str">
        <x:v>Identity importance; self-concept centrality</x:v>
      </x:c>
      <x:c r="D100" s="43" t="str">
        <x:v>Psychological</x:v>
      </x:c>
      <x:c r="E100" s="43" t="str">
        <x:v>Self-Concept, Identity &amp; Consistency</x:v>
      </x:c>
      <x:c r="F100" s="43" t="str">
        <x:v>The degree to which a specified identity occupies a central and important position in a person's overall self-concept.</x:v>
      </x:c>
      <x:c r="G100" s="43" t="str">
        <x:v>Unipolar continuous</x:v>
      </x:c>
      <x:c r="H100" s="43" t="str">
        <x:v>Low–high identity-centrality scale</x:v>
      </x:c>
      <x:c r="I100" s="43" t="str">
        <x:v>Higher values = greater enduring importance to self-definition.</x:v>
      </x:c>
      <x:c r="J100" s="43" t="str">
        <x:v>Raises the stakes of identity-relevant outcomes and supports consistent action across contexts.</x:v>
      </x:c>
      <x:c r="K100" s="43" t="str">
        <x:v>Self-reflection; group cues; social feedback; values; role expectations; threat or affirmation</x:v>
      </x:c>
      <x:c r="L100" s="43" t="str">
        <x:v>Identity-congruent choice; defensiveness; affiliation; group action; consistency restoration</x:v>
      </x:c>
      <x:c r="M100" s="43" t="str">
        <x:v>Identity content, context, competing identities, group norms, threat intensity, culture, and perceived efficacy.</x:v>
      </x:c>
      <x:c r="N100" s="43" t="str">
        <x:v>Identity Salience; Identity Centrality; Social Identification Strength; Self-Integrity Threat</x:v>
      </x:c>
      <x:c r="O100" s="43" t="str">
        <x:v>Low</x:v>
      </x:c>
      <x:c r="P100" s="43" t="str">
        <x:v>Low</x:v>
      </x:c>
      <x:c r="Q100" s="43" t="str">
        <x:v>Weeks–Months; Months–Years</x:v>
      </x:c>
      <x:c r="R100" s="43" t="str">
        <x:v>Minutes–Hours</x:v>
      </x:c>
      <x:c r="S100" s="43" t="str">
        <x:v>Salience changes quickly; centrality and fusion may persist for months or years and can be path-dependent.</x:v>
      </x:c>
      <x:c r="T100" s="43" t="str">
        <x:v>Importance ratings; cross-context identity use; identity-protective choice</x:v>
      </x:c>
      <x:c r="U100" s="43" t="str">
        <x:v>Validated identity scales; salience manipulations; narrative or content coding; experience sampling</x:v>
      </x:c>
      <x:c r="V100" s="43" t="str">
        <x:v>Low</x:v>
      </x:c>
      <x:c r="W100" s="43" t="str">
        <x:v>Identity is multidimensional and context-sensitive; group labels do not reveal identification strength, content, or fusion.</x:v>
      </x:c>
      <x:c r="X100" s="43" t="str">
        <x:v>Moderate</x:v>
      </x:c>
      <x:c r="Y100" s="43" t="str">
        <x:v>Scientifically defensible with substantial supporting literature, while causal identification, construct boundaries, measurement, or transferability remain context dependent. Representative records: SRC159; SRC194.</x:v>
      </x:c>
      <x:c r="Z100" s="43" t="str">
        <x:v>Treating demographic membership as an identity driver or assuming a salient identity has one fixed behavioral implication.</x:v>
      </x:c>
      <x:c r="AA100" s="43" t="str">
        <x:v>SRC159; SRC194</x:v>
      </x:c>
    </x:row>
    <x:row r="101" ht="72" customHeight="1">
      <x:c r="A101" s="43" t="str">
        <x:v>PSY-097</x:v>
      </x:c>
      <x:c r="B101" s="43" t="str">
        <x:v>Social Identification Strength</x:v>
      </x:c>
      <x:c r="C101" s="43" t="str">
        <x:v>Group identification; collective identification</x:v>
      </x:c>
      <x:c r="D101" s="43" t="str">
        <x:v>Psychological</x:v>
      </x:c>
      <x:c r="E101" s="43" t="str">
        <x:v>Self-Concept, Identity &amp; Consistency</x:v>
      </x:c>
      <x:c r="F101" s="43" t="str">
        <x:v>The degree of cognitive and affective identification with a specified social group.</x:v>
      </x:c>
      <x:c r="G101" s="43" t="str">
        <x:v>Multidimensional</x:v>
      </x:c>
      <x:c r="H101" s="43" t="str">
        <x:v>Centrality, solidarity, satisfaction, and self-stereotyping profile</x:v>
      </x:c>
      <x:c r="I101" s="43" t="str">
        <x:v>Higher values = stronger identification with the specified group.</x:v>
      </x:c>
      <x:c r="J101" s="43" t="str">
        <x:v>Makes group norms and outcomes self-relevant and increases group-oriented motivation.</x:v>
      </x:c>
      <x:c r="K101" s="43" t="str">
        <x:v>Self-reflection; group cues; social feedback; values; role expectations; threat or affirmation</x:v>
      </x:c>
      <x:c r="L101" s="43" t="str">
        <x:v>Identity-congruent choice; defensiveness; affiliation; group action; consistency restoration</x:v>
      </x:c>
      <x:c r="M101" s="43" t="str">
        <x:v>Identity content, context, competing identities, group norms, threat intensity, culture, and perceived efficacy.</x:v>
      </x:c>
      <x:c r="N101" s="43" t="str">
        <x:v>Identity Salience; Identity Centrality; Social Identification Strength; Self-Integrity Threat</x:v>
      </x:c>
      <x:c r="O101" s="43" t="str">
        <x:v>Low</x:v>
      </x:c>
      <x:c r="P101" s="43" t="str">
        <x:v>Low</x:v>
      </x:c>
      <x:c r="Q101" s="43" t="str">
        <x:v>Weeks–Months; Months–Years</x:v>
      </x:c>
      <x:c r="R101" s="43" t="str">
        <x:v>Minutes–Hours</x:v>
      </x:c>
      <x:c r="S101" s="43" t="str">
        <x:v>Salience changes quickly; centrality and fusion may persist for months or years and can be path-dependent.</x:v>
      </x:c>
      <x:c r="T101" s="43" t="str">
        <x:v>Identification scale; group-referent self-description; collective action intent</x:v>
      </x:c>
      <x:c r="U101" s="43" t="str">
        <x:v>Validated identity scales; salience manipulations; narrative or content coding; experience sampling</x:v>
      </x:c>
      <x:c r="V101" s="43" t="str">
        <x:v>Low</x:v>
      </x:c>
      <x:c r="W101" s="43" t="str">
        <x:v>Identity is multidimensional and context-sensitive; group labels do not reveal identification strength, content, or fusion.</x:v>
      </x:c>
      <x:c r="X101" s="43" t="str">
        <x:v>Strong</x:v>
      </x:c>
      <x:c r="Y101" s="43" t="str">
        <x:v>Supported by established theory, validated measures, and converging review, meta-analytic, experimental, or longitudinal evidence. Magnitude and behavioral direction remain conditional on context. Representative records: SRC160; SRC161.</x:v>
      </x:c>
      <x:c r="Z101" s="43" t="str">
        <x:v>Treating demographic membership as an identity driver or assuming a salient identity has one fixed behavioral implication.</x:v>
      </x:c>
      <x:c r="AA101" s="43" t="str">
        <x:v>SRC160; SRC161</x:v>
      </x:c>
    </x:row>
    <x:row r="102" ht="72" customHeight="1">
      <x:c r="A102" s="43" t="str">
        <x:v>PSY-098</x:v>
      </x:c>
      <x:c r="B102" s="43" t="str">
        <x:v>Identity Fusion</x:v>
      </x:c>
      <x:c r="C102" s="43" t="str">
        <x:v>Oneness with the group; fused identity</x:v>
      </x:c>
      <x:c r="D102" s="43" t="str">
        <x:v>Psychological</x:v>
      </x:c>
      <x:c r="E102" s="43" t="str">
        <x:v>Self-Concept, Identity &amp; Consistency</x:v>
      </x:c>
      <x:c r="F102" s="43" t="str">
        <x:v>The degree of visceral alignment and perceived oneness between personal identity and a specified group.</x:v>
      </x:c>
      <x:c r="G102" s="43" t="str">
        <x:v>Unipolar continuous</x:v>
      </x:c>
      <x:c r="H102" s="43" t="str">
        <x:v>Low–high verbal or pictorial fusion scale</x:v>
      </x:c>
      <x:c r="I102" s="43" t="str">
        <x:v>Higher values = stronger perceived oneness of personal and group identity.</x:v>
      </x:c>
      <x:c r="J102" s="43" t="str">
        <x:v>Links personal agency to group outcomes and can motivate unusually costly pro-group action.</x:v>
      </x:c>
      <x:c r="K102" s="43" t="str">
        <x:v>Self-reflection; group cues; social feedback; values; role expectations; threat or affirmation</x:v>
      </x:c>
      <x:c r="L102" s="43" t="str">
        <x:v>Identity-congruent choice; defensiveness; affiliation; group action; consistency restoration</x:v>
      </x:c>
      <x:c r="M102" s="43" t="str">
        <x:v>Identity content, context, competing identities, group norms, threat intensity, culture, and perceived efficacy.</x:v>
      </x:c>
      <x:c r="N102" s="43" t="str">
        <x:v>Identity Salience; Identity Centrality; Social Identification Strength; Self-Integrity Threat</x:v>
      </x:c>
      <x:c r="O102" s="43" t="str">
        <x:v>Low</x:v>
      </x:c>
      <x:c r="P102" s="43" t="str">
        <x:v>Low</x:v>
      </x:c>
      <x:c r="Q102" s="43" t="str">
        <x:v>Weeks–Months; Months–Years</x:v>
      </x:c>
      <x:c r="R102" s="43" t="str">
        <x:v>Minutes–Hours</x:v>
      </x:c>
      <x:c r="S102" s="43" t="str">
        <x:v>Salience changes quickly; centrality and fusion may persist for months or years and can be path-dependent.</x:v>
      </x:c>
      <x:c r="T102" s="43" t="str">
        <x:v>Fusion scale; sacrifice endorsement; group-defense behavior</x:v>
      </x:c>
      <x:c r="U102" s="43" t="str">
        <x:v>Validated identity scales; salience manipulations; narrative or content coding; experience sampling</x:v>
      </x:c>
      <x:c r="V102" s="43" t="str">
        <x:v>Low</x:v>
      </x:c>
      <x:c r="W102" s="43" t="str">
        <x:v>Identity is multidimensional and context-sensitive; group labels do not reveal identification strength, content, or fusion.</x:v>
      </x:c>
      <x:c r="X102" s="43" t="str">
        <x:v>Moderate</x:v>
      </x:c>
      <x:c r="Y102" s="43" t="str">
        <x:v>Scientifically defensible with substantial supporting literature, while causal identification, construct boundaries, measurement, or transferability remain context dependent. Representative records: SRC159; SRC161.</x:v>
      </x:c>
      <x:c r="Z102" s="43" t="str">
        <x:v>Treating demographic membership as an identity driver or assuming a salient identity has one fixed behavioral implication.</x:v>
      </x:c>
      <x:c r="AA102" s="43" t="str">
        <x:v>SRC159; SRC161</x:v>
      </x:c>
    </x:row>
    <x:row r="103" ht="72" customHeight="1">
      <x:c r="A103" s="43" t="str">
        <x:v>PSY-099</x:v>
      </x:c>
      <x:c r="B103" s="43" t="str">
        <x:v>Self-Concept Clarity</x:v>
      </x:c>
      <x:c r="C103" s="43" t="str">
        <x:v>Clarity of self-concept; self-definition coherence</x:v>
      </x:c>
      <x:c r="D103" s="43" t="str">
        <x:v>Psychological</x:v>
      </x:c>
      <x:c r="E103" s="43" t="str">
        <x:v>Self-Concept, Identity &amp; Consistency</x:v>
      </x:c>
      <x:c r="F103" s="43" t="str">
        <x:v>The degree to which beliefs about the self are clearly defined, internally consistent, and stable.</x:v>
      </x:c>
      <x:c r="G103" s="43" t="str">
        <x:v>Unipolar continuous</x:v>
      </x:c>
      <x:c r="H103" s="43" t="str">
        <x:v>Low–high self-concept clarity scale</x:v>
      </x:c>
      <x:c r="I103" s="43" t="str">
        <x:v>Higher values = clearer, more coherent, and stable self-beliefs.</x:v>
      </x:c>
      <x:c r="J103" s="43" t="str">
        <x:v>Provides a stable basis for goals and interpretation while reducing uncertainty about identity-congruent action.</x:v>
      </x:c>
      <x:c r="K103" s="43" t="str">
        <x:v>Self-reflection; group cues; social feedback; values; role expectations; threat or affirmation</x:v>
      </x:c>
      <x:c r="L103" s="43" t="str">
        <x:v>Identity-congruent choice; defensiveness; affiliation; group action; consistency restoration</x:v>
      </x:c>
      <x:c r="M103" s="43" t="str">
        <x:v>Identity content, context, competing identities, group norms, threat intensity, culture, and perceived efficacy.</x:v>
      </x:c>
      <x:c r="N103" s="43" t="str">
        <x:v>Identity Salience; Identity Centrality; Social Identification Strength; Self-Integrity Threat</x:v>
      </x:c>
      <x:c r="O103" s="43" t="str">
        <x:v>Low</x:v>
      </x:c>
      <x:c r="P103" s="43" t="str">
        <x:v>Low</x:v>
      </x:c>
      <x:c r="Q103" s="43" t="str">
        <x:v>Weeks–Months; Months–Years</x:v>
      </x:c>
      <x:c r="R103" s="43" t="str">
        <x:v>Minutes–Hours</x:v>
      </x:c>
      <x:c r="S103" s="43" t="str">
        <x:v>Salience changes quickly; centrality and fusion may persist for months or years and can be path-dependent.</x:v>
      </x:c>
      <x:c r="T103" s="43" t="str">
        <x:v>Clarity scale; self-description consistency; stability over time</x:v>
      </x:c>
      <x:c r="U103" s="43" t="str">
        <x:v>Validated identity scales; salience manipulations; narrative or content coding; experience sampling</x:v>
      </x:c>
      <x:c r="V103" s="43" t="str">
        <x:v>Low</x:v>
      </x:c>
      <x:c r="W103" s="43" t="str">
        <x:v>Identity is multidimensional and context-sensitive; group labels do not reveal identification strength, content, or fusion.</x:v>
      </x:c>
      <x:c r="X103" s="43" t="str">
        <x:v>Moderate</x:v>
      </x:c>
      <x:c r="Y103" s="43" t="str">
        <x:v>Scientifically defensible with substantial supporting literature, while causal identification, construct boundaries, measurement, or transferability remain context dependent. Representative records: SRC195; SRC194.</x:v>
      </x:c>
      <x:c r="Z103" s="43" t="str">
        <x:v>Treating demographic membership as an identity driver or assuming a salient identity has one fixed behavioral implication.</x:v>
      </x:c>
      <x:c r="AA103" s="43" t="str">
        <x:v>SRC195; SRC194</x:v>
      </x:c>
    </x:row>
    <x:row r="104" ht="72" customHeight="1">
      <x:c r="A104" s="43" t="str">
        <x:v>PSY-100</x:v>
      </x:c>
      <x:c r="B104" s="43" t="str">
        <x:v>Self-Integrity Threat</x:v>
      </x:c>
      <x:c r="C104" s="43" t="str">
        <x:v>Threat to self-integrity; self-image threat</x:v>
      </x:c>
      <x:c r="D104" s="43" t="str">
        <x:v>Psychological</x:v>
      </x:c>
      <x:c r="E104" s="43" t="str">
        <x:v>Self-Concept, Identity &amp; Consistency</x:v>
      </x:c>
      <x:c r="F104" s="43" t="str">
        <x:v>The degree to which information or events are perceived as threatening the person's global sense of being adequate, moral, or coherent.</x:v>
      </x:c>
      <x:c r="G104" s="43" t="str">
        <x:v>Magnitude / level</x:v>
      </x:c>
      <x:c r="H104" s="43" t="str">
        <x:v>Low–high threat; event-specific defensiveness index</x:v>
      </x:c>
      <x:c r="I104" s="43" t="str">
        <x:v>Higher values = greater perceived threat to global self-integrity.</x:v>
      </x:c>
      <x:c r="J104" s="43" t="str">
        <x:v>Motivates defensive processing or compensatory affirmation to restore an adequate self-image.</x:v>
      </x:c>
      <x:c r="K104" s="43" t="str">
        <x:v>Self-reflection; group cues; social feedback; values; role expectations; threat or affirmation</x:v>
      </x:c>
      <x:c r="L104" s="43" t="str">
        <x:v>Identity-congruent choice; defensiveness; affiliation; group action; consistency restoration</x:v>
      </x:c>
      <x:c r="M104" s="43" t="str">
        <x:v>Identity content, context, competing identities, group norms, threat intensity, culture, and perceived efficacy.</x:v>
      </x:c>
      <x:c r="N104" s="43" t="str">
        <x:v>Identity Salience; Identity Centrality; Social Identification Strength; Self-Integrity Threat</x:v>
      </x:c>
      <x:c r="O104" s="43" t="str">
        <x:v>High</x:v>
      </x:c>
      <x:c r="P104" s="43" t="str">
        <x:v>Moderate</x:v>
      </x:c>
      <x:c r="Q104" s="43" t="str">
        <x:v>Minutes–Hours</x:v>
      </x:c>
      <x:c r="R104" s="43" t="str">
        <x:v>Seconds–Minutes</x:v>
      </x:c>
      <x:c r="S104" s="43" t="str">
        <x:v>Usually reversible as cues, resources, or interpretations change; repeated appraisal can stabilize.</x:v>
      </x:c>
      <x:c r="T104" s="43" t="str">
        <x:v>Defensive dismissal; threat rating; compensatory affirmation</x:v>
      </x:c>
      <x:c r="U104" s="43" t="str">
        <x:v>Validated identity scales; salience manipulations; narrative or content coding; experience sampling</x:v>
      </x:c>
      <x:c r="V104" s="43" t="str">
        <x:v>Moderate</x:v>
      </x:c>
      <x:c r="W104" s="43" t="str">
        <x:v>Identity is multidimensional and context-sensitive; group labels do not reveal identification strength, content, or fusion.</x:v>
      </x:c>
      <x:c r="X104" s="43" t="str">
        <x:v>Strong</x:v>
      </x:c>
      <x:c r="Y104" s="43" t="str">
        <x:v>Supported by established theory, validated measures, and converging review, meta-analytic, experimental, or longitudinal evidence. Magnitude and behavioral direction remain conditional on context. Representative records: SRC129; SRC158.</x:v>
      </x:c>
      <x:c r="Z104" s="43" t="str">
        <x:v>Treating demographic membership as an identity driver or assuming a salient identity has one fixed behavioral implication.</x:v>
      </x:c>
      <x:c r="AA104" s="43" t="str">
        <x:v>SRC129; SRC158</x:v>
      </x:c>
    </x:row>
    <x:row r="105" ht="72" customHeight="1">
      <x:c r="A105" s="43" t="str">
        <x:v>PSY-101</x:v>
      </x:c>
      <x:c r="B105" s="43" t="str">
        <x:v>Perceived Identity Threat</x:v>
      </x:c>
      <x:c r="C105" s="43" t="str">
        <x:v>Identity-based threat; threat to group or role identity</x:v>
      </x:c>
      <x:c r="D105" s="43" t="str">
        <x:v>Psychological</x:v>
      </x:c>
      <x:c r="E105" s="43" t="str">
        <x:v>Self-Concept, Identity &amp; Consistency</x:v>
      </x:c>
      <x:c r="F105" s="43" t="str">
        <x:v>The degree to which a situation is perceived as devaluing, constraining, or endangering a specified identity and its standing.</x:v>
      </x:c>
      <x:c r="G105" s="43" t="str">
        <x:v>Magnitude / level</x:v>
      </x:c>
      <x:c r="H105" s="43" t="str">
        <x:v>Low–high identity-threat rating</x:v>
      </x:c>
      <x:c r="I105" s="43" t="str">
        <x:v>Higher values = greater perceived threat to the specified identity.</x:v>
      </x:c>
      <x:c r="J105" s="43" t="str">
        <x:v>Mobilizes identity defense, withdrawal, confrontation, or collective action depending on efficacy and norms.</x:v>
      </x:c>
      <x:c r="K105" s="43" t="str">
        <x:v>Self-reflection; group cues; social feedback; values; role expectations; threat or affirmation</x:v>
      </x:c>
      <x:c r="L105" s="43" t="str">
        <x:v>Identity-congruent choice; defensiveness; affiliation; group action; consistency restoration</x:v>
      </x:c>
      <x:c r="M105" s="43" t="str">
        <x:v>Identity content, context, competing identities, group norms, threat intensity, culture, and perceived efficacy.</x:v>
      </x:c>
      <x:c r="N105" s="43" t="str">
        <x:v>Identity Salience; Identity Centrality; Social Identification Strength; Self-Integrity Threat</x:v>
      </x:c>
      <x:c r="O105" s="43" t="str">
        <x:v>High</x:v>
      </x:c>
      <x:c r="P105" s="43" t="str">
        <x:v>Moderate</x:v>
      </x:c>
      <x:c r="Q105" s="43" t="str">
        <x:v>Minutes–Hours</x:v>
      </x:c>
      <x:c r="R105" s="43" t="str">
        <x:v>Seconds–Minutes</x:v>
      </x:c>
      <x:c r="S105" s="43" t="str">
        <x:v>Usually reversible as cues, resources, or interpretations change; repeated appraisal can stabilize.</x:v>
      </x:c>
      <x:c r="T105" s="43" t="str">
        <x:v>Threat rating; identity defense; withdrawal or collective-action intent</x:v>
      </x:c>
      <x:c r="U105" s="43" t="str">
        <x:v>Validated identity scales; salience manipulations; narrative or content coding; experience sampling</x:v>
      </x:c>
      <x:c r="V105" s="43" t="str">
        <x:v>Moderate</x:v>
      </x:c>
      <x:c r="W105" s="43" t="str">
        <x:v>Identity is multidimensional and context-sensitive; group labels do not reveal identification strength, content, or fusion.</x:v>
      </x:c>
      <x:c r="X105" s="43" t="str">
        <x:v>Moderate</x:v>
      </x:c>
      <x:c r="Y105" s="43" t="str">
        <x:v>Scientifically defensible with substantial supporting literature, while causal identification, construct boundaries, measurement, or transferability remain context dependent. Representative records: SRC160; SRC161.</x:v>
      </x:c>
      <x:c r="Z105" s="43" t="str">
        <x:v>Treating demographic membership as an identity driver or assuming a salient identity has one fixed behavioral implication.</x:v>
      </x:c>
      <x:c r="AA105" s="43" t="str">
        <x:v>SRC160; SRC161</x:v>
      </x:c>
    </x:row>
    <x:row r="106" ht="72" customHeight="1">
      <x:c r="A106" s="43" t="str">
        <x:v>PSY-102</x:v>
      </x:c>
      <x:c r="B106" s="43" t="str">
        <x:v>Dissonance Magnitude</x:v>
      </x:c>
      <x:c r="C106" s="43" t="str">
        <x:v>Cognitive dissonance; inconsistency discomfort</x:v>
      </x:c>
      <x:c r="D106" s="43" t="str">
        <x:v>Psychological</x:v>
      </x:c>
      <x:c r="E106" s="43" t="str">
        <x:v>Self-Concept, Identity &amp; Consistency</x:v>
      </x:c>
      <x:c r="F106" s="43" t="str">
        <x:v>The intensity of aversive inconsistency experienced among behavior, beliefs, attitudes, commitments, or self-concept.</x:v>
      </x:c>
      <x:c r="G106" s="43" t="str">
        <x:v>Magnitude / level</x:v>
      </x:c>
      <x:c r="H106" s="43" t="str">
        <x:v>None–high dissonance; discrepancy and discomfort ratings</x:v>
      </x:c>
      <x:c r="I106" s="43" t="str">
        <x:v>Higher values = greater experienced inconsistency and discomfort.</x:v>
      </x:c>
      <x:c r="J106" s="43" t="str">
        <x:v>Motivates change in attitudes, beliefs, behavior, or interpretation to reduce inconsistency.</x:v>
      </x:c>
      <x:c r="K106" s="43" t="str">
        <x:v>Self-reflection; group cues; social feedback; values; role expectations; threat or affirmation</x:v>
      </x:c>
      <x:c r="L106" s="43" t="str">
        <x:v>Identity-congruent choice; defensiveness; affiliation; group action; consistency restoration</x:v>
      </x:c>
      <x:c r="M106" s="43" t="str">
        <x:v>Identity content, context, competing identities, group norms, threat intensity, culture, and perceived efficacy.</x:v>
      </x:c>
      <x:c r="N106" s="43" t="str">
        <x:v>Identity Salience; Identity Centrality; Social Identification Strength; Self-Integrity Threat</x:v>
      </x:c>
      <x:c r="O106" s="43" t="str">
        <x:v>High</x:v>
      </x:c>
      <x:c r="P106" s="43" t="str">
        <x:v>Moderate</x:v>
      </x:c>
      <x:c r="Q106" s="43" t="str">
        <x:v>Minutes–Hours</x:v>
      </x:c>
      <x:c r="R106" s="43" t="str">
        <x:v>Seconds–Minutes</x:v>
      </x:c>
      <x:c r="S106" s="43" t="str">
        <x:v>Usually reversible as cues, resources, or interpretations change; repeated appraisal can stabilize.</x:v>
      </x:c>
      <x:c r="T106" s="43" t="str">
        <x:v>Discomfort; justification; belief or behavior change</x:v>
      </x:c>
      <x:c r="U106" s="43" t="str">
        <x:v>Validated identity scales; salience manipulations; narrative or content coding; experience sampling</x:v>
      </x:c>
      <x:c r="V106" s="43" t="str">
        <x:v>Moderate</x:v>
      </x:c>
      <x:c r="W106" s="43" t="str">
        <x:v>Identity is multidimensional and context-sensitive; group labels do not reveal identification strength, content, or fusion.</x:v>
      </x:c>
      <x:c r="X106" s="43" t="str">
        <x:v>Strong</x:v>
      </x:c>
      <x:c r="Y106" s="43" t="str">
        <x:v>Supported by established theory, validated measures, and converging review, meta-analytic, experimental, or longitudinal evidence. Magnitude and behavioral direction remain conditional on context. Representative records: SRC127; SRC196.</x:v>
      </x:c>
      <x:c r="Z106" s="43" t="str">
        <x:v>Treating demographic membership as an identity driver or assuming a salient identity has one fixed behavioral implication.</x:v>
      </x:c>
      <x:c r="AA106" s="43" t="str">
        <x:v>SRC127; SRC196</x:v>
      </x:c>
    </x:row>
    <x:row r="107" ht="72" customHeight="1">
      <x:c r="A107" s="43" t="str">
        <x:v>PSY-103</x:v>
      </x:c>
      <x:c r="B107" s="43" t="str">
        <x:v>Moral Identity Centrality</x:v>
      </x:c>
      <x:c r="C107" s="43" t="str">
        <x:v>Moral self-importance; internalization of moral identity</x:v>
      </x:c>
      <x:c r="D107" s="43" t="str">
        <x:v>Psychological</x:v>
      </x:c>
      <x:c r="E107" s="43" t="str">
        <x:v>Self-Concept, Identity &amp; Consistency</x:v>
      </x:c>
      <x:c r="F107" s="43" t="str">
        <x:v>The degree to which moral traits and values are central to a person's self-definition.</x:v>
      </x:c>
      <x:c r="G107" s="43" t="str">
        <x:v>Unipolar continuous</x:v>
      </x:c>
      <x:c r="H107" s="43" t="str">
        <x:v>Low–high moral-identity internalization scale</x:v>
      </x:c>
      <x:c r="I107" s="43" t="str">
        <x:v>Higher values = greater centrality of moral self-definition.</x:v>
      </x:c>
      <x:c r="J107" s="43" t="str">
        <x:v>Raises the value of moral consistency and can motivate prosocial or principled action when moral content is salient.</x:v>
      </x:c>
      <x:c r="K107" s="43" t="str">
        <x:v>Self-reflection; group cues; social feedback; values; role expectations; threat or affirmation</x:v>
      </x:c>
      <x:c r="L107" s="43" t="str">
        <x:v>Identity-congruent choice; defensiveness; affiliation; group action; consistency restoration</x:v>
      </x:c>
      <x:c r="M107" s="43" t="str">
        <x:v>Identity content, context, competing identities, group norms, threat intensity, culture, and perceived efficacy.</x:v>
      </x:c>
      <x:c r="N107" s="43" t="str">
        <x:v>Identity Salience; Identity Centrality; Social Identification Strength; Self-Integrity Threat</x:v>
      </x:c>
      <x:c r="O107" s="43" t="str">
        <x:v>Low</x:v>
      </x:c>
      <x:c r="P107" s="43" t="str">
        <x:v>Low</x:v>
      </x:c>
      <x:c r="Q107" s="43" t="str">
        <x:v>Weeks–Months; Months–Years</x:v>
      </x:c>
      <x:c r="R107" s="43" t="str">
        <x:v>Minutes–Hours</x:v>
      </x:c>
      <x:c r="S107" s="43" t="str">
        <x:v>Salience changes quickly; centrality and fusion may persist for months or years and can be path-dependent.</x:v>
      </x:c>
      <x:c r="T107" s="43" t="str">
        <x:v>Moral-identity scale; moral self-description; consistency behavior</x:v>
      </x:c>
      <x:c r="U107" s="43" t="str">
        <x:v>Validated identity scales; salience manipulations; narrative or content coding; experience sampling</x:v>
      </x:c>
      <x:c r="V107" s="43" t="str">
        <x:v>Low</x:v>
      </x:c>
      <x:c r="W107" s="43" t="str">
        <x:v>Identity is multidimensional and context-sensitive; group labels do not reveal identification strength, content, or fusion.</x:v>
      </x:c>
      <x:c r="X107" s="43" t="str">
        <x:v>Strong</x:v>
      </x:c>
      <x:c r="Y107" s="43" t="str">
        <x:v>Supported by established theory, validated measures, and converging review, meta-analytic, experimental, or longitudinal evidence. Magnitude and behavioral direction remain conditional on context. Representative records: SRC130.</x:v>
      </x:c>
      <x:c r="Z107" s="43" t="str">
        <x:v>Treating demographic membership as an identity driver or assuming a salient identity has one fixed behavioral implication.</x:v>
      </x:c>
      <x:c r="AA107" s="43" t="str">
        <x:v>SRC130</x:v>
      </x:c>
    </x:row>
    <x:row r="108" ht="72" customHeight="1">
      <x:c r="A108" s="43" t="str">
        <x:v>PSY-104</x:v>
      </x:c>
      <x:c r="B108" s="43" t="str">
        <x:v>Perceived Agency</x:v>
      </x:c>
      <x:c r="C108" s="43" t="str">
        <x:v>Sense of agency; personal agency</x:v>
      </x:c>
      <x:c r="D108" s="43" t="str">
        <x:v>Psychological</x:v>
      </x:c>
      <x:c r="E108" s="43" t="str">
        <x:v>Agency, Attribution &amp; Moral Judgment</x:v>
      </x:c>
      <x:c r="F108" s="43" t="str">
        <x:v>The degree to which a person experiences themselves as able to initiate and control actions that produce effects.</x:v>
      </x:c>
      <x:c r="G108" s="43" t="str">
        <x:v>Unipolar continuous</x:v>
      </x:c>
      <x:c r="H108" s="43" t="str">
        <x:v>Low–high sense-of-agency rating; action-effect binding measure</x:v>
      </x:c>
      <x:c r="I108" s="43" t="str">
        <x:v>Higher values = stronger experienced authorship and control of action.</x:v>
      </x:c>
      <x:c r="J108" s="43" t="str">
        <x:v>Supports intentional action, responsibility acceptance, and effort by representing oneself as an effective causal agent.</x:v>
      </x:c>
      <x:c r="K108" s="43" t="str">
        <x:v>Observed conduct; causal information; intention cues; freedom constraints; norms; consequences</x:v>
      </x:c>
      <x:c r="L108" s="43" t="str">
        <x:v>Blame; punishment; forgiveness; resistance; helping; principled action</x:v>
      </x:c>
      <x:c r="M108" s="43" t="str">
        <x:v>Outcome severity, intent evidence, role expectations, power, group membership, culture, and accountability.</x:v>
      </x:c>
      <x:c r="N108" s="43" t="str">
        <x:v>Intentionality Attribution; Responsibility Attribution; Perceived Freedom Threat; Moral Conviction Strength</x:v>
      </x:c>
      <x:c r="O108" s="43" t="str">
        <x:v>High</x:v>
      </x:c>
      <x:c r="P108" s="43" t="str">
        <x:v>Moderate</x:v>
      </x:c>
      <x:c r="Q108" s="43" t="str">
        <x:v>Minutes–Hours</x:v>
      </x:c>
      <x:c r="R108" s="43" t="str">
        <x:v>Seconds–Minutes</x:v>
      </x:c>
      <x:c r="S108" s="43" t="str">
        <x:v>Usually reversible as cues, resources, or interpretations change; repeated appraisal can stabilize.</x:v>
      </x:c>
      <x:c r="T108" s="43" t="str">
        <x:v>Agency rating; action-effect prediction; voluntary initiation</x:v>
      </x:c>
      <x:c r="U108" s="43" t="str">
        <x:v>Attribution and moral-judgment vignettes; agency scales; behavioral allocation tasks; repeated state assessment</x:v>
      </x:c>
      <x:c r="V108" s="43" t="str">
        <x:v>Moderate</x:v>
      </x:c>
      <x:c r="W108" s="43" t="str">
        <x:v>Judgments vary with framing, culture, actor identity, outcome information, and distinctions among causation, intent, and responsibility.</x:v>
      </x:c>
      <x:c r="X108" s="43" t="str">
        <x:v>Moderate</x:v>
      </x:c>
      <x:c r="Y108" s="43" t="str">
        <x:v>Scientifically defensible with substantial supporting literature, while causal identification, construct boundaries, measurement, or transferability remain context dependent. Representative records: SRC197; SRC111.</x:v>
      </x:c>
      <x:c r="Z108" s="43" t="str">
        <x:v>Collapsing causation, intention, agency, responsibility, blame, and punishment into one undifferentiated moral judgment.</x:v>
      </x:c>
      <x:c r="AA108" s="43" t="str">
        <x:v>SRC197; SRC111</x:v>
      </x:c>
    </x:row>
    <x:row r="109" ht="72" customHeight="1">
      <x:c r="A109" s="43" t="str">
        <x:v>PSY-105</x:v>
      </x:c>
      <x:c r="B109" s="43" t="str">
        <x:v>Responsibility Attribution</x:v>
      </x:c>
      <x:c r="C109" s="43" t="str">
        <x:v>Attributed responsibility; blame responsibility</x:v>
      </x:c>
      <x:c r="D109" s="43" t="str">
        <x:v>Psychological</x:v>
      </x:c>
      <x:c r="E109" s="43" t="str">
        <x:v>Agency, Attribution &amp; Moral Judgment</x:v>
      </x:c>
      <x:c r="F109" s="43" t="str">
        <x:v>The degree to which a specified actor is judged responsible for producing or preventing an outcome.</x:v>
      </x:c>
      <x:c r="G109" s="43" t="str">
        <x:v>Unipolar continuous</x:v>
      </x:c>
      <x:c r="H109" s="43" t="str">
        <x:v>0–100% responsibility; low–high judgment</x:v>
      </x:c>
      <x:c r="I109" s="43" t="str">
        <x:v>Higher values = greater attributed responsibility.</x:v>
      </x:c>
      <x:c r="J109" s="43" t="str">
        <x:v>Changes blame, sanction, forgiveness, compensation, and expectations for corrective action.</x:v>
      </x:c>
      <x:c r="K109" s="43" t="str">
        <x:v>Observed conduct; causal information; intention cues; freedom constraints; norms; consequences</x:v>
      </x:c>
      <x:c r="L109" s="43" t="str">
        <x:v>Blame; punishment; forgiveness; resistance; helping; principled action</x:v>
      </x:c>
      <x:c r="M109" s="43" t="str">
        <x:v>Outcome severity, intent evidence, role expectations, power, group membership, culture, and accountability.</x:v>
      </x:c>
      <x:c r="N109" s="43" t="str">
        <x:v>Intentionality Attribution; Responsibility Attribution; Perceived Freedom Threat; Moral Conviction Strength</x:v>
      </x:c>
      <x:c r="O109" s="43" t="str">
        <x:v>Moderate</x:v>
      </x:c>
      <x:c r="P109" s="43" t="str">
        <x:v>Moderate</x:v>
      </x:c>
      <x:c r="Q109" s="43" t="str">
        <x:v>Minutes–Hours; Days–Weeks</x:v>
      </x:c>
      <x:c r="R109" s="43" t="str">
        <x:v>Seconds–Minutes</x:v>
      </x:c>
      <x:c r="S109" s="43" t="str">
        <x:v>Specific judgments can revise rapidly; convictions and attribution styles can persist much longer.</x:v>
      </x:c>
      <x:c r="T109" s="43" t="str">
        <x:v>Responsibility rating; blame; punishment or repair allocation</x:v>
      </x:c>
      <x:c r="U109" s="43" t="str">
        <x:v>Attribution and moral-judgment vignettes; agency scales; behavioral allocation tasks; repeated state assessment</x:v>
      </x:c>
      <x:c r="V109" s="43" t="str">
        <x:v>Moderate</x:v>
      </x:c>
      <x:c r="W109" s="43" t="str">
        <x:v>Judgments vary with framing, culture, actor identity, outcome information, and distinctions among causation, intent, and responsibility.</x:v>
      </x:c>
      <x:c r="X109" s="43" t="str">
        <x:v>Strong</x:v>
      </x:c>
      <x:c r="Y109" s="43" t="str">
        <x:v>Supported by established theory, validated measures, and converging review, meta-analytic, experimental, or longitudinal evidence. Magnitude and behavioral direction remain conditional on context. Representative records: SRC198.</x:v>
      </x:c>
      <x:c r="Z109" s="43" t="str">
        <x:v>Collapsing causation, intention, agency, responsibility, blame, and punishment into one undifferentiated moral judgment.</x:v>
      </x:c>
      <x:c r="AA109" s="43" t="str">
        <x:v>SRC198</x:v>
      </x:c>
    </x:row>
    <x:row r="110" ht="72" customHeight="1">
      <x:c r="A110" s="43" t="str">
        <x:v>PSY-106</x:v>
      </x:c>
      <x:c r="B110" s="43" t="str">
        <x:v>Causal Attribution Locus</x:v>
      </x:c>
      <x:c r="C110" s="43" t="str">
        <x:v>Internal–external attribution; causal locus</x:v>
      </x:c>
      <x:c r="D110" s="43" t="str">
        <x:v>Psychological</x:v>
      </x:c>
      <x:c r="E110" s="43" t="str">
        <x:v>Agency, Attribution &amp; Moral Judgment</x:v>
      </x:c>
      <x:c r="F110" s="43" t="str">
        <x:v>The represented location of primary causal influence for an outcome, such as within the actor, situation, or another agent.</x:v>
      </x:c>
      <x:c r="G110" s="43" t="str">
        <x:v>Nominal categorical</x:v>
      </x:c>
      <x:c r="H110" s="43" t="str">
        <x:v>Actor; situation; other agent; mixed, optionally with weights</x:v>
      </x:c>
      <x:c r="I110" s="43" t="str">
        <x:v>Categories identify attributed causal locus and have no inherent ordering.</x:v>
      </x:c>
      <x:c r="J110" s="43" t="str">
        <x:v>Directs intervention, blame, learning, and prediction toward different causal targets.</x:v>
      </x:c>
      <x:c r="K110" s="43" t="str">
        <x:v>Observed conduct; causal information; intention cues; freedom constraints; norms; consequences</x:v>
      </x:c>
      <x:c r="L110" s="43" t="str">
        <x:v>Blame; punishment; forgiveness; resistance; helping; principled action</x:v>
      </x:c>
      <x:c r="M110" s="43" t="str">
        <x:v>Outcome severity, intent evidence, role expectations, power, group membership, culture, and accountability.</x:v>
      </x:c>
      <x:c r="N110" s="43" t="str">
        <x:v>Intentionality Attribution; Responsibility Attribution; Perceived Freedom Threat; Moral Conviction Strength</x:v>
      </x:c>
      <x:c r="O110" s="43" t="str">
        <x:v>Moderate</x:v>
      </x:c>
      <x:c r="P110" s="43" t="str">
        <x:v>Moderate</x:v>
      </x:c>
      <x:c r="Q110" s="43" t="str">
        <x:v>Minutes–Hours; Days–Weeks</x:v>
      </x:c>
      <x:c r="R110" s="43" t="str">
        <x:v>Seconds–Minutes</x:v>
      </x:c>
      <x:c r="S110" s="43" t="str">
        <x:v>Specific judgments can revise rapidly; convictions and attribution styles can persist much longer.</x:v>
      </x:c>
      <x:c r="T110" s="43" t="str">
        <x:v>Causal explanation coding; intervention target; attribution ratings</x:v>
      </x:c>
      <x:c r="U110" s="43" t="str">
        <x:v>Attribution and moral-judgment vignettes; agency scales; behavioral allocation tasks; repeated state assessment</x:v>
      </x:c>
      <x:c r="V110" s="43" t="str">
        <x:v>Moderate</x:v>
      </x:c>
      <x:c r="W110" s="43" t="str">
        <x:v>Judgments vary with framing, culture, actor identity, outcome information, and distinctions among causation, intent, and responsibility.</x:v>
      </x:c>
      <x:c r="X110" s="43" t="str">
        <x:v>Strong</x:v>
      </x:c>
      <x:c r="Y110" s="43" t="str">
        <x:v>Supported by established theory, validated measures, and converging review, meta-analytic, experimental, or longitudinal evidence. Magnitude and behavioral direction remain conditional on context. Representative records: SRC163; SRC199.</x:v>
      </x:c>
      <x:c r="Z110" s="43" t="str">
        <x:v>Collapsing causation, intention, agency, responsibility, blame, and punishment into one undifferentiated moral judgment.</x:v>
      </x:c>
      <x:c r="AA110" s="43" t="str">
        <x:v>SRC163; SRC199</x:v>
      </x:c>
    </x:row>
    <x:row r="111" ht="72" customHeight="1">
      <x:c r="A111" s="43" t="str">
        <x:v>PSY-107</x:v>
      </x:c>
      <x:c r="B111" s="43" t="str">
        <x:v>Intentionality Attribution</x:v>
      </x:c>
      <x:c r="C111" s="43" t="str">
        <x:v>Perceived intent; attributed intentional action</x:v>
      </x:c>
      <x:c r="D111" s="43" t="str">
        <x:v>Psychological</x:v>
      </x:c>
      <x:c r="E111" s="43" t="str">
        <x:v>Agency, Attribution &amp; Moral Judgment</x:v>
      </x:c>
      <x:c r="F111" s="43" t="str">
        <x:v>The degree to which a specified outcome or action is judged to have been knowingly and purposefully produced.</x:v>
      </x:c>
      <x:c r="G111" s="43" t="str">
        <x:v>Unipolar continuous</x:v>
      </x:c>
      <x:c r="H111" s="43" t="str">
        <x:v>Accidental–fully intentional; component profile of desire, belief, foresight, and control</x:v>
      </x:c>
      <x:c r="I111" s="43" t="str">
        <x:v>Higher values = greater attributed intentionality.</x:v>
      </x:c>
      <x:c r="J111" s="43" t="str">
        <x:v>Increases moral blame and punitive response and alters prediction of future behavior.</x:v>
      </x:c>
      <x:c r="K111" s="43" t="str">
        <x:v>Observed conduct; causal information; intention cues; freedom constraints; norms; consequences</x:v>
      </x:c>
      <x:c r="L111" s="43" t="str">
        <x:v>Blame; punishment; forgiveness; resistance; helping; principled action</x:v>
      </x:c>
      <x:c r="M111" s="43" t="str">
        <x:v>Outcome severity, intent evidence, role expectations, power, group membership, culture, and accountability.</x:v>
      </x:c>
      <x:c r="N111" s="43" t="str">
        <x:v>Intentionality Attribution; Responsibility Attribution; Perceived Freedom Threat; Moral Conviction Strength</x:v>
      </x:c>
      <x:c r="O111" s="43" t="str">
        <x:v>Moderate</x:v>
      </x:c>
      <x:c r="P111" s="43" t="str">
        <x:v>Moderate</x:v>
      </x:c>
      <x:c r="Q111" s="43" t="str">
        <x:v>Minutes–Hours; Days–Weeks</x:v>
      </x:c>
      <x:c r="R111" s="43" t="str">
        <x:v>Seconds–Minutes</x:v>
      </x:c>
      <x:c r="S111" s="43" t="str">
        <x:v>Specific judgments can revise rapidly; convictions and attribution styles can persist much longer.</x:v>
      </x:c>
      <x:c r="T111" s="43" t="str">
        <x:v>Intent rating; blame; punishment; mental-state inference</x:v>
      </x:c>
      <x:c r="U111" s="43" t="str">
        <x:v>Attribution and moral-judgment vignettes; agency scales; behavioral allocation tasks; repeated state assessment</x:v>
      </x:c>
      <x:c r="V111" s="43" t="str">
        <x:v>Moderate</x:v>
      </x:c>
      <x:c r="W111" s="43" t="str">
        <x:v>Judgments vary with framing, culture, actor identity, outcome information, and distinctions among causation, intent, and responsibility.</x:v>
      </x:c>
      <x:c r="X111" s="43" t="str">
        <x:v>Strong</x:v>
      </x:c>
      <x:c r="Y111" s="43" t="str">
        <x:v>Supported by established theory, validated measures, and converging review, meta-analytic, experimental, or longitudinal evidence. Magnitude and behavioral direction remain conditional on context. Representative records: SRC163; SRC198.</x:v>
      </x:c>
      <x:c r="Z111" s="43" t="str">
        <x:v>Collapsing causation, intention, agency, responsibility, blame, and punishment into one undifferentiated moral judgment.</x:v>
      </x:c>
      <x:c r="AA111" s="43" t="str">
        <x:v>SRC163; SRC198</x:v>
      </x:c>
    </x:row>
    <x:row r="112" ht="72" customHeight="1">
      <x:c r="A112" s="43" t="str">
        <x:v>PSY-108</x:v>
      </x:c>
      <x:c r="B112" s="43" t="str">
        <x:v>Perceived Freedom Threat</x:v>
      </x:c>
      <x:c r="C112" s="43" t="str">
        <x:v>Threat to choice; perceived restriction</x:v>
      </x:c>
      <x:c r="D112" s="43" t="str">
        <x:v>Psychological</x:v>
      </x:c>
      <x:c r="E112" s="43" t="str">
        <x:v>Agency, Attribution &amp; Moral Judgment</x:v>
      </x:c>
      <x:c r="F112" s="43" t="str">
        <x:v>The degree to which a message, rule, or actor is perceived as illegitimately restricting behavioral or attitudinal freedom.</x:v>
      </x:c>
      <x:c r="G112" s="43" t="str">
        <x:v>Magnitude / level</x:v>
      </x:c>
      <x:c r="H112" s="43" t="str">
        <x:v>None–high freedom-threat rating</x:v>
      </x:c>
      <x:c r="I112" s="43" t="str">
        <x:v>Higher values = greater perceived restriction of freedom.</x:v>
      </x:c>
      <x:c r="J112" s="43" t="str">
        <x:v>Elicits motivational pressure to restore autonomy and increases resistance or opposite responding.</x:v>
      </x:c>
      <x:c r="K112" s="43" t="str">
        <x:v>Observed conduct; causal information; intention cues; freedom constraints; norms; consequences</x:v>
      </x:c>
      <x:c r="L112" s="43" t="str">
        <x:v>Blame; punishment; forgiveness; resistance; helping; principled action</x:v>
      </x:c>
      <x:c r="M112" s="43" t="str">
        <x:v>Outcome severity, intent evidence, role expectations, power, group membership, culture, and accountability.</x:v>
      </x:c>
      <x:c r="N112" s="43" t="str">
        <x:v>Intentionality Attribution; Responsibility Attribution; Perceived Freedom Threat; Moral Conviction Strength</x:v>
      </x:c>
      <x:c r="O112" s="43" t="str">
        <x:v>High</x:v>
      </x:c>
      <x:c r="P112" s="43" t="str">
        <x:v>Moderate</x:v>
      </x:c>
      <x:c r="Q112" s="43" t="str">
        <x:v>Minutes–Hours</x:v>
      </x:c>
      <x:c r="R112" s="43" t="str">
        <x:v>Seconds–Minutes</x:v>
      </x:c>
      <x:c r="S112" s="43" t="str">
        <x:v>Usually reversible as cues, resources, or interpretations change; repeated appraisal can stabilize.</x:v>
      </x:c>
      <x:c r="T112" s="43" t="str">
        <x:v>Restriction rating; anger; resistance; opposite-choice tendency</x:v>
      </x:c>
      <x:c r="U112" s="43" t="str">
        <x:v>Attribution and moral-judgment vignettes; agency scales; behavioral allocation tasks; repeated state assessment</x:v>
      </x:c>
      <x:c r="V112" s="43" t="str">
        <x:v>Moderate</x:v>
      </x:c>
      <x:c r="W112" s="43" t="str">
        <x:v>Judgments vary with framing, culture, actor identity, outcome information, and distinctions among causation, intent, and responsibility.</x:v>
      </x:c>
      <x:c r="X112" s="43" t="str">
        <x:v>Strong</x:v>
      </x:c>
      <x:c r="Y112" s="43" t="str">
        <x:v>Supported by established theory, validated measures, and converging review, meta-analytic, experimental, or longitudinal evidence. Magnitude and behavioral direction remain conditional on context. Representative records: SRC128; SRC200.</x:v>
      </x:c>
      <x:c r="Z112" s="43" t="str">
        <x:v>Collapsing causation, intention, agency, responsibility, blame, and punishment into one undifferentiated moral judgment.</x:v>
      </x:c>
      <x:c r="AA112" s="43" t="str">
        <x:v>SRC128; SRC200</x:v>
      </x:c>
    </x:row>
    <x:row r="113" ht="72" customHeight="1">
      <x:c r="A113" s="43" t="str">
        <x:v>PSY-109</x:v>
      </x:c>
      <x:c r="B113" s="43" t="str">
        <x:v>Psychological Reactance Intensity</x:v>
      </x:c>
      <x:c r="C113" s="43" t="str">
        <x:v>Reactance; freedom-restoration motivation</x:v>
      </x:c>
      <x:c r="D113" s="43" t="str">
        <x:v>Psychological</x:v>
      </x:c>
      <x:c r="E113" s="43" t="str">
        <x:v>Agency, Attribution &amp; Moral Judgment</x:v>
      </x:c>
      <x:c r="F113" s="43" t="str">
        <x:v>The current intensity of motivational arousal directed at restoring a freedom perceived to be threatened.</x:v>
      </x:c>
      <x:c r="G113" s="43" t="str">
        <x:v>Magnitude / level</x:v>
      </x:c>
      <x:c r="H113" s="43" t="str">
        <x:v>None–high reactance; anger plus negative-cognition composite</x:v>
      </x:c>
      <x:c r="I113" s="43" t="str">
        <x:v>Higher values = stronger motivation to restore threatened freedom.</x:v>
      </x:c>
      <x:c r="J113" s="43" t="str">
        <x:v>Increases message rejection, counterarguing, source derogation, or behavior that reasserts choice.</x:v>
      </x:c>
      <x:c r="K113" s="43" t="str">
        <x:v>Observed conduct; causal information; intention cues; freedom constraints; norms; consequences</x:v>
      </x:c>
      <x:c r="L113" s="43" t="str">
        <x:v>Blame; punishment; forgiveness; resistance; helping; principled action</x:v>
      </x:c>
      <x:c r="M113" s="43" t="str">
        <x:v>Outcome severity, intent evidence, role expectations, power, group membership, culture, and accountability.</x:v>
      </x:c>
      <x:c r="N113" s="43" t="str">
        <x:v>Intentionality Attribution; Responsibility Attribution; Perceived Freedom Threat; Moral Conviction Strength</x:v>
      </x:c>
      <x:c r="O113" s="43" t="str">
        <x:v>High</x:v>
      </x:c>
      <x:c r="P113" s="43" t="str">
        <x:v>High</x:v>
      </x:c>
      <x:c r="Q113" s="43" t="str">
        <x:v>Seconds–Minutes; Minutes–Hours</x:v>
      </x:c>
      <x:c r="R113" s="43" t="str">
        <x:v>Seconds–Minutes</x:v>
      </x:c>
      <x:c r="S113" s="43" t="str">
        <x:v>Typically transient to hours, but repeated appraisal or rumination can prolong the state.</x:v>
      </x:c>
      <x:c r="T113" s="43" t="str">
        <x:v>Anger; negative cognitions; opposite choice; noncompliance</x:v>
      </x:c>
      <x:c r="U113" s="43" t="str">
        <x:v>Attribution and moral-judgment vignettes; agency scales; behavioral allocation tasks; repeated state assessment</x:v>
      </x:c>
      <x:c r="V113" s="43" t="str">
        <x:v>Moderate</x:v>
      </x:c>
      <x:c r="W113" s="43" t="str">
        <x:v>Judgments vary with framing, culture, actor identity, outcome information, and distinctions among causation, intent, and responsibility.</x:v>
      </x:c>
      <x:c r="X113" s="43" t="str">
        <x:v>Strong</x:v>
      </x:c>
      <x:c r="Y113" s="43" t="str">
        <x:v>Supported by established theory, validated measures, and converging review, meta-analytic, experimental, or longitudinal evidence. Magnitude and behavioral direction remain conditional on context. Representative records: SRC128; SRC200.</x:v>
      </x:c>
      <x:c r="Z113" s="43" t="str">
        <x:v>Collapsing causation, intention, agency, responsibility, blame, and punishment into one undifferentiated moral judgment.</x:v>
      </x:c>
      <x:c r="AA113" s="43" t="str">
        <x:v>SRC128; SRC200</x:v>
      </x:c>
    </x:row>
    <x:row r="114" ht="72" customHeight="1">
      <x:c r="A114" s="43" t="str">
        <x:v>PSY-110</x:v>
      </x:c>
      <x:c r="B114" s="43" t="str">
        <x:v>Moral Conviction Strength</x:v>
      </x:c>
      <x:c r="C114" s="43" t="str">
        <x:v>Moral mandate; moralized attitude</x:v>
      </x:c>
      <x:c r="D114" s="43" t="str">
        <x:v>Psychological</x:v>
      </x:c>
      <x:c r="E114" s="43" t="str">
        <x:v>Agency, Attribution &amp; Moral Judgment</x:v>
      </x:c>
      <x:c r="F114" s="43" t="str">
        <x:v>The degree to which a position or preference is experienced as grounded in fundamental right and wrong.</x:v>
      </x:c>
      <x:c r="G114" s="43" t="str">
        <x:v>Unipolar continuous</x:v>
      </x:c>
      <x:c r="H114" s="43" t="str">
        <x:v>Low–high moral-conviction scale</x:v>
      </x:c>
      <x:c r="I114" s="43" t="str">
        <x:v>Higher values = stronger experience of the position as a moral imperative.</x:v>
      </x:c>
      <x:c r="J114" s="43" t="str">
        <x:v>Increases certainty, resistance to compromise, willingness to act, and intolerance of procedural outcomes viewed as immoral.</x:v>
      </x:c>
      <x:c r="K114" s="43" t="str">
        <x:v>Observed conduct; causal information; intention cues; freedom constraints; norms; consequences</x:v>
      </x:c>
      <x:c r="L114" s="43" t="str">
        <x:v>Blame; punishment; forgiveness; resistance; helping; principled action</x:v>
      </x:c>
      <x:c r="M114" s="43" t="str">
        <x:v>Outcome severity, intent evidence, role expectations, power, group membership, culture, and accountability.</x:v>
      </x:c>
      <x:c r="N114" s="43" t="str">
        <x:v>Intentionality Attribution; Responsibility Attribution; Perceived Freedom Threat; Moral Conviction Strength</x:v>
      </x:c>
      <x:c r="O114" s="43" t="str">
        <x:v>Moderate</x:v>
      </x:c>
      <x:c r="P114" s="43" t="str">
        <x:v>Low</x:v>
      </x:c>
      <x:c r="Q114" s="43" t="str">
        <x:v>Days–Weeks</x:v>
      </x:c>
      <x:c r="R114" s="43" t="str">
        <x:v>Minutes–Hours</x:v>
      </x:c>
      <x:c r="S114" s="43" t="str">
        <x:v>Often persists for days to months; updating depends on counterevidence and confidence.</x:v>
      </x:c>
      <x:c r="T114" s="43" t="str">
        <x:v>Moral-basis rating; unwillingness to compromise; action commitment</x:v>
      </x:c>
      <x:c r="U114" s="43" t="str">
        <x:v>Attribution and moral-judgment vignettes; agency scales; behavioral allocation tasks; repeated state assessment</x:v>
      </x:c>
      <x:c r="V114" s="43" t="str">
        <x:v>Moderate</x:v>
      </x:c>
      <x:c r="W114" s="43" t="str">
        <x:v>Judgments vary with framing, culture, actor identity, outcome information, and distinctions among causation, intent, and responsibility.</x:v>
      </x:c>
      <x:c r="X114" s="43" t="str">
        <x:v>Strong</x:v>
      </x:c>
      <x:c r="Y114" s="43" t="str">
        <x:v>Supported by established theory, validated measures, and converging review, meta-analytic, experimental, or longitudinal evidence. Magnitude and behavioral direction remain conditional on context. Representative records: SRC164; SRC160.</x:v>
      </x:c>
      <x:c r="Z114" s="43" t="str">
        <x:v>Collapsing causation, intention, agency, responsibility, blame, and punishment into one undifferentiated moral judgment.</x:v>
      </x:c>
      <x:c r="AA114" s="43" t="str">
        <x:v>SRC164; SRC160</x:v>
      </x:c>
    </x:row>
    <x:row r="115" ht="72" customHeight="1">
      <x:c r="A115" s="43" t="str">
        <x:v>PSY-111</x:v>
      </x:c>
      <x:c r="B115" s="43" t="str">
        <x:v>Moral Obligation</x:v>
      </x:c>
      <x:c r="C115" s="43" t="str">
        <x:v>Personal moral norm; felt moral duty</x:v>
      </x:c>
      <x:c r="D115" s="43" t="str">
        <x:v>Psychological</x:v>
      </x:c>
      <x:c r="E115" s="43" t="str">
        <x:v>Agency, Attribution &amp; Moral Judgment</x:v>
      </x:c>
      <x:c r="F115" s="43" t="str">
        <x:v>The degree of felt personal duty to perform or avoid a specified action because it is judged morally required.</x:v>
      </x:c>
      <x:c r="G115" s="43" t="str">
        <x:v>Unipolar continuous</x:v>
      </x:c>
      <x:c r="H115" s="43" t="str">
        <x:v>No duty–strong duty; action-specific obligation scale</x:v>
      </x:c>
      <x:c r="I115" s="43" t="str">
        <x:v>Higher values = stronger felt moral requirement.</x:v>
      </x:c>
      <x:c r="J115" s="43" t="str">
        <x:v>Adds a deontic motive to action independent of instrumental outcome value or social approval.</x:v>
      </x:c>
      <x:c r="K115" s="43" t="str">
        <x:v>Observed conduct; causal information; intention cues; freedom constraints; norms; consequences</x:v>
      </x:c>
      <x:c r="L115" s="43" t="str">
        <x:v>Blame; punishment; forgiveness; resistance; helping; principled action</x:v>
      </x:c>
      <x:c r="M115" s="43" t="str">
        <x:v>Outcome severity, intent evidence, role expectations, power, group membership, culture, and accountability.</x:v>
      </x:c>
      <x:c r="N115" s="43" t="str">
        <x:v>Intentionality Attribution; Responsibility Attribution; Perceived Freedom Threat; Moral Conviction Strength</x:v>
      </x:c>
      <x:c r="O115" s="43" t="str">
        <x:v>High</x:v>
      </x:c>
      <x:c r="P115" s="43" t="str">
        <x:v>Moderate</x:v>
      </x:c>
      <x:c r="Q115" s="43" t="str">
        <x:v>Minutes–Hours; Days–Weeks</x:v>
      </x:c>
      <x:c r="R115" s="43" t="str">
        <x:v>Minutes–Hours</x:v>
      </x:c>
      <x:c r="S115" s="43" t="str">
        <x:v>Persists while the goal remains valued and feasible; may decay or be revised after feedback.</x:v>
      </x:c>
      <x:c r="T115" s="43" t="str">
        <x:v>Duty ratings; guilt anticipation; principled intention</x:v>
      </x:c>
      <x:c r="U115" s="43" t="str">
        <x:v>Attribution and moral-judgment vignettes; agency scales; behavioral allocation tasks; repeated state assessment</x:v>
      </x:c>
      <x:c r="V115" s="43" t="str">
        <x:v>Moderate</x:v>
      </x:c>
      <x:c r="W115" s="43" t="str">
        <x:v>Judgments vary with framing, culture, actor identity, outcome information, and distinctions among causation, intent, and responsibility.</x:v>
      </x:c>
      <x:c r="X115" s="43" t="str">
        <x:v>Moderate</x:v>
      </x:c>
      <x:c r="Y115" s="43" t="str">
        <x:v>Scientifically defensible with substantial supporting literature, while causal identification, construct boundaries, measurement, or transferability remain context dependent. Representative records: SRC164; SRC130.</x:v>
      </x:c>
      <x:c r="Z115" s="43" t="str">
        <x:v>Collapsing causation, intention, agency, responsibility, blame, and punishment into one undifferentiated moral judgment.</x:v>
      </x:c>
      <x:c r="AA115" s="43" t="str">
        <x:v>SRC164; SRC130</x:v>
      </x:c>
    </x:row>
    <x:row r="116" ht="72" customHeight="1">
      <x:c r="A116" s="43" t="str">
        <x:v>PSY-112</x:v>
      </x:c>
      <x:c r="B116" s="43" t="str">
        <x:v>Personal Value Priority</x:v>
      </x:c>
      <x:c r="C116" s="43" t="str">
        <x:v>Value importance; value hierarchy weight</x:v>
      </x:c>
      <x:c r="D116" s="43" t="str">
        <x:v>Psychological</x:v>
      </x:c>
      <x:c r="E116" s="43" t="str">
        <x:v>Agency, Attribution &amp; Moral Judgment</x:v>
      </x:c>
      <x:c r="F116" s="43" t="str">
        <x:v>The relative importance assigned to a specified trans-situational guiding value within the person's value hierarchy.</x:v>
      </x:c>
      <x:c r="G116" s="43" t="str">
        <x:v>Ordinal</x:v>
      </x:c>
      <x:c r="H116" s="43" t="str">
        <x:v>Rank order; ipsative or normalized value-importance score</x:v>
      </x:c>
      <x:c r="I116" s="43" t="str">
        <x:v>Higher values = greater priority relative to competing values.</x:v>
      </x:c>
      <x:c r="J116" s="43" t="str">
        <x:v>Shapes goal selection and evaluation by making value-congruent outcomes more important across situations.</x:v>
      </x:c>
      <x:c r="K116" s="43" t="str">
        <x:v>Observed conduct; causal information; intention cues; freedom constraints; norms; consequences</x:v>
      </x:c>
      <x:c r="L116" s="43" t="str">
        <x:v>Blame; punishment; forgiveness; resistance; helping; principled action</x:v>
      </x:c>
      <x:c r="M116" s="43" t="str">
        <x:v>Outcome severity, intent evidence, role expectations, power, group membership, culture, and accountability.</x:v>
      </x:c>
      <x:c r="N116" s="43" t="str">
        <x:v>Intentionality Attribution; Responsibility Attribution; Perceived Freedom Threat; Moral Conviction Strength</x:v>
      </x:c>
      <x:c r="O116" s="43" t="str">
        <x:v>Low</x:v>
      </x:c>
      <x:c r="P116" s="43" t="str">
        <x:v>Low</x:v>
      </x:c>
      <x:c r="Q116" s="43" t="str">
        <x:v>Weeks–Months; Months–Years</x:v>
      </x:c>
      <x:c r="R116" s="43" t="str">
        <x:v>Minutes–Hours</x:v>
      </x:c>
      <x:c r="S116" s="43" t="str">
        <x:v>Salience changes quickly; centrality and fusion may persist for months or years and can be path-dependent.</x:v>
      </x:c>
      <x:c r="T116" s="43" t="str">
        <x:v>Value ranking; value-congruent choices; tradeoff decisions</x:v>
      </x:c>
      <x:c r="U116" s="43" t="str">
        <x:v>Attribution and moral-judgment vignettes; agency scales; behavioral allocation tasks; repeated state assessment</x:v>
      </x:c>
      <x:c r="V116" s="43" t="str">
        <x:v>Low</x:v>
      </x:c>
      <x:c r="W116" s="43" t="str">
        <x:v>Judgments vary with framing, culture, actor identity, outcome information, and distinctions among causation, intent, and responsibility.</x:v>
      </x:c>
      <x:c r="X116" s="43" t="str">
        <x:v>Strong</x:v>
      </x:c>
      <x:c r="Y116" s="43" t="str">
        <x:v>Supported by established theory, validated measures, and converging review, meta-analytic, experimental, or longitudinal evidence. Magnitude and behavioral direction remain conditional on context. Representative records: SRC165; SRC108.</x:v>
      </x:c>
      <x:c r="Z116" s="43" t="str">
        <x:v>Collapsing causation, intention, agency, responsibility, blame, and punishment into one undifferentiated moral judgment.</x:v>
      </x:c>
      <x:c r="AA116" s="43" t="str">
        <x:v>SRC165; SRC108</x:v>
      </x:c>
    </x:row>
    <x:row r="117" ht="72" customHeight="1">
      <x:c r="A117" s="43" t="str">
        <x:v>PSY-113</x:v>
      </x:c>
      <x:c r="B117" s="43" t="str">
        <x:v>Perceived Source Credibility</x:v>
      </x:c>
      <x:c r="C117" s="43" t="str">
        <x:v>Source trustworthiness; source expertise judgment</x:v>
      </x:c>
      <x:c r="D117" s="43" t="str">
        <x:v>Psychological</x:v>
      </x:c>
      <x:c r="E117" s="43" t="str">
        <x:v>Epistemic Trust &amp; Persuasion</x:v>
      </x:c>
      <x:c r="F117" s="43" t="str">
        <x:v>The degree to which a specified source is judged knowledgeable, trustworthy, and appropriate to rely upon for a claim.</x:v>
      </x:c>
      <x:c r="G117" s="43" t="str">
        <x:v>Multidimensional</x:v>
      </x:c>
      <x:c r="H117" s="43" t="str">
        <x:v>Expertise, trustworthiness, and benevolence profile; overall credibility</x:v>
      </x:c>
      <x:c r="I117" s="43" t="str">
        <x:v>Higher values = greater judged credibility of the source.</x:v>
      </x:c>
      <x:c r="J117" s="43" t="str">
        <x:v>Changes the weight assigned to communicated information, especially when direct verification is difficult.</x:v>
      </x:c>
      <x:c r="K117" s="43" t="str">
        <x:v>Source cues; argument content; prior beliefs; uncertainty; warnings; social endorsement</x:v>
      </x:c>
      <x:c r="L117" s="43" t="str">
        <x:v>Belief updating; acceptance; rejection; information search; resistance; sharing intention</x:v>
      </x:c>
      <x:c r="M117" s="43" t="str">
        <x:v>Prior belief, involvement, motivation, ability, source identity, message repetition, and accountability.</x:v>
      </x:c>
      <x:c r="N117" s="43" t="str">
        <x:v>Perceived Source Credibility; Perceived Argument Strength; Prior-Belief Congruence; Need for Cognition</x:v>
      </x:c>
      <x:c r="O117" s="43" t="str">
        <x:v>Moderate</x:v>
      </x:c>
      <x:c r="P117" s="43" t="str">
        <x:v>Moderate</x:v>
      </x:c>
      <x:c r="Q117" s="43" t="str">
        <x:v>Hours–Days</x:v>
      </x:c>
      <x:c r="R117" s="43" t="str">
        <x:v>Minutes–Hours</x:v>
      </x:c>
      <x:c r="S117" s="43" t="str">
        <x:v>Can update quickly after salient evidence but often persists through selective exposure and relationship history.</x:v>
      </x:c>
      <x:c r="T117" s="43" t="str">
        <x:v>Credibility rating; reliance choice; belief update after source cue</x:v>
      </x:c>
      <x:c r="U117" s="43" t="str">
        <x:v>Credibility and argument-rating scales; belief-updating tasks; thought-listing; confidence calibration; search behavior</x:v>
      </x:c>
      <x:c r="V117" s="43" t="str">
        <x:v>Moderate</x:v>
      </x:c>
      <x:c r="W117" s="43" t="str">
        <x:v>Acceptance can reflect source heuristics, content, fluency, prior belief, or social alignment; confidence is not equivalent to accuracy.</x:v>
      </x:c>
      <x:c r="X117" s="43" t="str">
        <x:v>Strong</x:v>
      </x:c>
      <x:c r="Y117" s="43" t="str">
        <x:v>Supported by established theory, validated measures, and converging review, meta-analytic, experimental, or longitudinal evidence. Magnitude and behavioral direction remain conditional on context. Representative records: SRC117; SRC201.</x:v>
      </x:c>
      <x:c r="Z117" s="43" t="str">
        <x:v>Treating source credibility or fluency as an objective property rather than a perceiver-specific judgment or cue.</x:v>
      </x:c>
      <x:c r="AA117" s="43" t="str">
        <x:v>SRC117; SRC201</x:v>
      </x:c>
    </x:row>
    <x:row r="118" ht="72" customHeight="1">
      <x:c r="A118" s="43" t="str">
        <x:v>PSY-114</x:v>
      </x:c>
      <x:c r="B118" s="43" t="str">
        <x:v>Perceived Argument Strength</x:v>
      </x:c>
      <x:c r="C118" s="43" t="str">
        <x:v>Perceived argument quality; evidentiary strength</x:v>
      </x:c>
      <x:c r="D118" s="43" t="str">
        <x:v>Psychological</x:v>
      </x:c>
      <x:c r="E118" s="43" t="str">
        <x:v>Epistemic Trust &amp; Persuasion</x:v>
      </x:c>
      <x:c r="F118" s="43" t="str">
        <x:v>The degree to which an argument is judged logically compelling, relevant, and evidentially supportive of its conclusion.</x:v>
      </x:c>
      <x:c r="G118" s="43" t="str">
        <x:v>Unipolar continuous</x:v>
      </x:c>
      <x:c r="H118" s="43" t="str">
        <x:v>Weak–strong argument rating; evidence-quality profile</x:v>
      </x:c>
      <x:c r="I118" s="43" t="str">
        <x:v>Higher values = stronger perceived support for the conclusion.</x:v>
      </x:c>
      <x:c r="J118" s="43" t="str">
        <x:v>Increases belief updating when the recipient is motivated and able to elaborate.</x:v>
      </x:c>
      <x:c r="K118" s="43" t="str">
        <x:v>Source cues; argument content; prior beliefs; uncertainty; warnings; social endorsement</x:v>
      </x:c>
      <x:c r="L118" s="43" t="str">
        <x:v>Belief updating; acceptance; rejection; information search; resistance; sharing intention</x:v>
      </x:c>
      <x:c r="M118" s="43" t="str">
        <x:v>Prior belief, involvement, motivation, ability, source identity, message repetition, and accountability.</x:v>
      </x:c>
      <x:c r="N118" s="43" t="str">
        <x:v>Perceived Source Credibility; Perceived Argument Strength; Prior-Belief Congruence; Need for Cognition</x:v>
      </x:c>
      <x:c r="O118" s="43" t="str">
        <x:v>High</x:v>
      </x:c>
      <x:c r="P118" s="43" t="str">
        <x:v>Moderate</x:v>
      </x:c>
      <x:c r="Q118" s="43" t="str">
        <x:v>Seconds–Minutes; Hours–Days</x:v>
      </x:c>
      <x:c r="R118" s="43" t="str">
        <x:v>Seconds–Minutes</x:v>
      </x:c>
      <x:c r="S118" s="43" t="str">
        <x:v>May be transient or persist as a revised belief depending on elaboration, confidence, and reinforcement.</x:v>
      </x:c>
      <x:c r="T118" s="43" t="str">
        <x:v>Argument rating; conclusion acceptance; thought valence</x:v>
      </x:c>
      <x:c r="U118" s="43" t="str">
        <x:v>Credibility and argument-rating scales; belief-updating tasks; thought-listing; confidence calibration; search behavior</x:v>
      </x:c>
      <x:c r="V118" s="43" t="str">
        <x:v>Moderate</x:v>
      </x:c>
      <x:c r="W118" s="43" t="str">
        <x:v>Acceptance can reflect source heuristics, content, fluency, prior belief, or social alignment; confidence is not equivalent to accuracy.</x:v>
      </x:c>
      <x:c r="X118" s="43" t="str">
        <x:v>Strong</x:v>
      </x:c>
      <x:c r="Y118" s="43" t="str">
        <x:v>Supported by established theory, validated measures, and converging review, meta-analytic, experimental, or longitudinal evidence. Magnitude and behavioral direction remain conditional on context. Representative records: SRC117; SRC162.</x:v>
      </x:c>
      <x:c r="Z118" s="43" t="str">
        <x:v>Treating source credibility or fluency as an objective property rather than a perceiver-specific judgment or cue.</x:v>
      </x:c>
      <x:c r="AA118" s="43" t="str">
        <x:v>SRC117; SRC162</x:v>
      </x:c>
    </x:row>
    <x:row r="119" ht="72" customHeight="1">
      <x:c r="A119" s="43" t="str">
        <x:v>PSY-115</x:v>
      </x:c>
      <x:c r="B119" s="43" t="str">
        <x:v>Counterarguing Intensity</x:v>
      </x:c>
      <x:c r="C119" s="43" t="str">
        <x:v>Counterargument generation; refutational thinking</x:v>
      </x:c>
      <x:c r="D119" s="43" t="str">
        <x:v>Psychological</x:v>
      </x:c>
      <x:c r="E119" s="43" t="str">
        <x:v>Epistemic Trust &amp; Persuasion</x:v>
      </x:c>
      <x:c r="F119" s="43" t="str">
        <x:v>The amount and strength of thoughts generated to challenge, refute, or qualify a persuasive claim.</x:v>
      </x:c>
      <x:c r="G119" s="43" t="str">
        <x:v>Magnitude / level</x:v>
      </x:c>
      <x:c r="H119" s="43" t="str">
        <x:v>Thought count and quality; low–high counterarguing scale</x:v>
      </x:c>
      <x:c r="I119" s="43" t="str">
        <x:v>Higher values = more numerous or stronger counterarguments.</x:v>
      </x:c>
      <x:c r="J119" s="43" t="str">
        <x:v>Reduces acceptance by supplying alternative explanations and undermining message claims.</x:v>
      </x:c>
      <x:c r="K119" s="43" t="str">
        <x:v>Source cues; argument content; prior beliefs; uncertainty; warnings; social endorsement</x:v>
      </x:c>
      <x:c r="L119" s="43" t="str">
        <x:v>Belief updating; acceptance; rejection; information search; resistance; sharing intention</x:v>
      </x:c>
      <x:c r="M119" s="43" t="str">
        <x:v>Prior belief, involvement, motivation, ability, source identity, message repetition, and accountability.</x:v>
      </x:c>
      <x:c r="N119" s="43" t="str">
        <x:v>Perceived Source Credibility; Perceived Argument Strength; Prior-Belief Congruence; Need for Cognition</x:v>
      </x:c>
      <x:c r="O119" s="43" t="str">
        <x:v>High</x:v>
      </x:c>
      <x:c r="P119" s="43" t="str">
        <x:v>Moderate</x:v>
      </x:c>
      <x:c r="Q119" s="43" t="str">
        <x:v>Seconds–Minutes; Hours–Days</x:v>
      </x:c>
      <x:c r="R119" s="43" t="str">
        <x:v>Seconds–Minutes</x:v>
      </x:c>
      <x:c r="S119" s="43" t="str">
        <x:v>May be transient or persist as a revised belief depending on elaboration, confidence, and reinforcement.</x:v>
      </x:c>
      <x:c r="T119" s="43" t="str">
        <x:v>Thought-listing; rebuttal quality; reduced belief change</x:v>
      </x:c>
      <x:c r="U119" s="43" t="str">
        <x:v>Credibility and argument-rating scales; belief-updating tasks; thought-listing; confidence calibration; search behavior</x:v>
      </x:c>
      <x:c r="V119" s="43" t="str">
        <x:v>Moderate</x:v>
      </x:c>
      <x:c r="W119" s="43" t="str">
        <x:v>Acceptance can reflect source heuristics, content, fluency, prior belief, or social alignment; confidence is not equivalent to accuracy.</x:v>
      </x:c>
      <x:c r="X119" s="43" t="str">
        <x:v>Strong</x:v>
      </x:c>
      <x:c r="Y119" s="43" t="str">
        <x:v>Supported by established theory, validated measures, and converging review, meta-analytic, experimental, or longitudinal evidence. Magnitude and behavioral direction remain conditional on context. Representative records: SRC131; SRC117.</x:v>
      </x:c>
      <x:c r="Z119" s="43" t="str">
        <x:v>Treating source credibility or fluency as an objective property rather than a perceiver-specific judgment or cue.</x:v>
      </x:c>
      <x:c r="AA119" s="43" t="str">
        <x:v>SRC131; SRC117</x:v>
      </x:c>
    </x:row>
    <x:row r="120" ht="72" customHeight="1">
      <x:c r="A120" s="43" t="str">
        <x:v>PSY-116</x:v>
      </x:c>
      <x:c r="B120" s="43" t="str">
        <x:v>Metacognitive Confidence</x:v>
      </x:c>
      <x:c r="C120" s="43" t="str">
        <x:v>Judgment confidence; confidence in one's conclusion</x:v>
      </x:c>
      <x:c r="D120" s="43" t="str">
        <x:v>Psychological</x:v>
      </x:c>
      <x:c r="E120" s="43" t="str">
        <x:v>Epistemic Trust &amp; Persuasion</x:v>
      </x:c>
      <x:c r="F120" s="43" t="str">
        <x:v>The degree of confidence assigned to the accuracy or validity of a specified judgment, belief, or decision.</x:v>
      </x:c>
      <x:c r="G120" s="43" t="str">
        <x:v>Unipolar continuous</x:v>
      </x:c>
      <x:c r="H120" s="43" t="str">
        <x:v>0–100% confidence; low–high certainty</x:v>
      </x:c>
      <x:c r="I120" s="43" t="str">
        <x:v>Higher values = greater subjective confidence in the specified judgment.</x:v>
      </x:c>
      <x:c r="J120" s="43" t="str">
        <x:v>Changes reliance, persistence, communication, and willingness to revise the underlying judgment.</x:v>
      </x:c>
      <x:c r="K120" s="43" t="str">
        <x:v>Source cues; argument content; prior beliefs; uncertainty; warnings; social endorsement</x:v>
      </x:c>
      <x:c r="L120" s="43" t="str">
        <x:v>Belief updating; acceptance; rejection; information search; resistance; sharing intention</x:v>
      </x:c>
      <x:c r="M120" s="43" t="str">
        <x:v>Prior belief, involvement, motivation, ability, source identity, message repetition, and accountability.</x:v>
      </x:c>
      <x:c r="N120" s="43" t="str">
        <x:v>Perceived Source Credibility; Perceived Argument Strength; Prior-Belief Congruence; Need for Cognition</x:v>
      </x:c>
      <x:c r="O120" s="43" t="str">
        <x:v>Moderate</x:v>
      </x:c>
      <x:c r="P120" s="43" t="str">
        <x:v>Low</x:v>
      </x:c>
      <x:c r="Q120" s="43" t="str">
        <x:v>Days–Weeks</x:v>
      </x:c>
      <x:c r="R120" s="43" t="str">
        <x:v>Minutes–Hours</x:v>
      </x:c>
      <x:c r="S120" s="43" t="str">
        <x:v>Often persists for days to months; updating depends on counterevidence and confidence.</x:v>
      </x:c>
      <x:c r="T120" s="43" t="str">
        <x:v>Confidence rating; calibration; revision threshold; advice taking</x:v>
      </x:c>
      <x:c r="U120" s="43" t="str">
        <x:v>Credibility and argument-rating scales; belief-updating tasks; thought-listing; confidence calibration; search behavior</x:v>
      </x:c>
      <x:c r="V120" s="43" t="str">
        <x:v>Moderate</x:v>
      </x:c>
      <x:c r="W120" s="43" t="str">
        <x:v>Acceptance can reflect source heuristics, content, fluency, prior belief, or social alignment; confidence is not equivalent to accuracy.</x:v>
      </x:c>
      <x:c r="X120" s="43" t="str">
        <x:v>Strong</x:v>
      </x:c>
      <x:c r="Y120" s="43" t="str">
        <x:v>Supported by established theory, validated measures, and converging review, meta-analytic, experimental, or longitudinal evidence. Magnitude and behavioral direction remain conditional on context. Representative records: SRC168; SRC169; SRC156.</x:v>
      </x:c>
      <x:c r="Z120" s="43" t="str">
        <x:v>Treating source credibility or fluency as an objective property rather than a perceiver-specific judgment or cue.</x:v>
      </x:c>
      <x:c r="AA120" s="43" t="str">
        <x:v>SRC168; SRC169; SRC156</x:v>
      </x:c>
    </x:row>
    <x:row r="121" ht="72" customHeight="1">
      <x:c r="A121" s="43" t="str">
        <x:v>PSY-117</x:v>
      </x:c>
      <x:c r="B121" s="43" t="str">
        <x:v>Resistance Motivation</x:v>
      </x:c>
      <x:c r="C121" s="43" t="str">
        <x:v>Persuasion resistance; forewarning-induced resistance</x:v>
      </x:c>
      <x:c r="D121" s="43" t="str">
        <x:v>Psychological</x:v>
      </x:c>
      <x:c r="E121" s="43" t="str">
        <x:v>Epistemic Trust &amp; Persuasion</x:v>
      </x:c>
      <x:c r="F121" s="43" t="str">
        <x:v>The strength of motivation to defend an existing attitude or autonomy against an anticipated persuasive attempt.</x:v>
      </x:c>
      <x:c r="G121" s="43" t="str">
        <x:v>Unipolar continuous</x:v>
      </x:c>
      <x:c r="H121" s="43" t="str">
        <x:v>Low–high resistance motivation; warning response</x:v>
      </x:c>
      <x:c r="I121" s="43" t="str">
        <x:v>Higher values = stronger motivation to resist persuasion.</x:v>
      </x:c>
      <x:c r="J121" s="43" t="str">
        <x:v>Promotes scrutiny, counterarguing, selective exposure, and rehearsal of defenses.</x:v>
      </x:c>
      <x:c r="K121" s="43" t="str">
        <x:v>Source cues; argument content; prior beliefs; uncertainty; warnings; social endorsement</x:v>
      </x:c>
      <x:c r="L121" s="43" t="str">
        <x:v>Belief updating; acceptance; rejection; information search; resistance; sharing intention</x:v>
      </x:c>
      <x:c r="M121" s="43" t="str">
        <x:v>Prior belief, involvement, motivation, ability, source identity, message repetition, and accountability.</x:v>
      </x:c>
      <x:c r="N121" s="43" t="str">
        <x:v>Perceived Source Credibility; Perceived Argument Strength; Prior-Belief Congruence; Need for Cognition</x:v>
      </x:c>
      <x:c r="O121" s="43" t="str">
        <x:v>High</x:v>
      </x:c>
      <x:c r="P121" s="43" t="str">
        <x:v>Moderate</x:v>
      </x:c>
      <x:c r="Q121" s="43" t="str">
        <x:v>Seconds–Minutes; Hours–Days</x:v>
      </x:c>
      <x:c r="R121" s="43" t="str">
        <x:v>Seconds–Minutes</x:v>
      </x:c>
      <x:c r="S121" s="43" t="str">
        <x:v>May be transient or persist as a revised belief depending on elaboration, confidence, and reinforcement.</x:v>
      </x:c>
      <x:c r="T121" s="43" t="str">
        <x:v>Counterarguments; message avoidance; reduced attitude change</x:v>
      </x:c>
      <x:c r="U121" s="43" t="str">
        <x:v>Credibility and argument-rating scales; belief-updating tasks; thought-listing; confidence calibration; search behavior</x:v>
      </x:c>
      <x:c r="V121" s="43" t="str">
        <x:v>Moderate</x:v>
      </x:c>
      <x:c r="W121" s="43" t="str">
        <x:v>Acceptance can reflect source heuristics, content, fluency, prior belief, or social alignment; confidence is not equivalent to accuracy.</x:v>
      </x:c>
      <x:c r="X121" s="43" t="str">
        <x:v>Strong</x:v>
      </x:c>
      <x:c r="Y121" s="43" t="str">
        <x:v>Supported by established theory, validated measures, and converging review, meta-analytic, experimental, or longitudinal evidence. Magnitude and behavioral direction remain conditional on context. Representative records: SRC131; SRC128.</x:v>
      </x:c>
      <x:c r="Z121" s="43" t="str">
        <x:v>Treating source credibility or fluency as an objective property rather than a perceiver-specific judgment or cue.</x:v>
      </x:c>
      <x:c r="AA121" s="43" t="str">
        <x:v>SRC131; SRC128</x:v>
      </x:c>
    </x:row>
    <x:row r="122" ht="72" customHeight="1">
      <x:c r="A122" s="43" t="str">
        <x:v>PSY-118</x:v>
      </x:c>
      <x:c r="B122" s="43" t="str">
        <x:v>Epistemic Trust</x:v>
      </x:c>
      <x:c r="C122" s="43" t="str">
        <x:v>Trust in communicated knowledge; epistemic reliance</x:v>
      </x:c>
      <x:c r="D122" s="43" t="str">
        <x:v>Psychological</x:v>
      </x:c>
      <x:c r="E122" s="43" t="str">
        <x:v>Epistemic Trust &amp; Persuasion</x:v>
      </x:c>
      <x:c r="F122" s="43" t="str">
        <x:v>The willingness to treat information from a specified person or system as relevant, reliable, and generalizable beyond the immediate exchange.</x:v>
      </x:c>
      <x:c r="G122" s="43" t="str">
        <x:v>Unipolar continuous</x:v>
      </x:c>
      <x:c r="H122" s="43" t="str">
        <x:v>Low–high epistemic-trust scale; reliance probability</x:v>
      </x:c>
      <x:c r="I122" s="43" t="str">
        <x:v>Higher values = greater willingness to learn from and generalize the source's information.</x:v>
      </x:c>
      <x:c r="J122" s="43" t="str">
        <x:v>Permits efficient social learning and belief updating when firsthand verification is costly.</x:v>
      </x:c>
      <x:c r="K122" s="43" t="str">
        <x:v>Source cues; argument content; prior beliefs; uncertainty; warnings; social endorsement</x:v>
      </x:c>
      <x:c r="L122" s="43" t="str">
        <x:v>Belief updating; acceptance; rejection; information search; resistance; sharing intention</x:v>
      </x:c>
      <x:c r="M122" s="43" t="str">
        <x:v>Prior belief, involvement, motivation, ability, source identity, message repetition, and accountability.</x:v>
      </x:c>
      <x:c r="N122" s="43" t="str">
        <x:v>Perceived Source Credibility; Perceived Argument Strength; Prior-Belief Congruence; Need for Cognition</x:v>
      </x:c>
      <x:c r="O122" s="43" t="str">
        <x:v>Moderate</x:v>
      </x:c>
      <x:c r="P122" s="43" t="str">
        <x:v>Moderate</x:v>
      </x:c>
      <x:c r="Q122" s="43" t="str">
        <x:v>Hours–Days</x:v>
      </x:c>
      <x:c r="R122" s="43" t="str">
        <x:v>Minutes–Hours</x:v>
      </x:c>
      <x:c r="S122" s="43" t="str">
        <x:v>Can update quickly after salient evidence but often persists through selective exposure and relationship history.</x:v>
      </x:c>
      <x:c r="T122" s="43" t="str">
        <x:v>Information uptake; advice weighting; generalization of communicated claims</x:v>
      </x:c>
      <x:c r="U122" s="43" t="str">
        <x:v>Credibility and argument-rating scales; belief-updating tasks; thought-listing; confidence calibration; search behavior</x:v>
      </x:c>
      <x:c r="V122" s="43" t="str">
        <x:v>Moderate</x:v>
      </x:c>
      <x:c r="W122" s="43" t="str">
        <x:v>Acceptance can reflect source heuristics, content, fluency, prior belief, or social alignment; confidence is not equivalent to accuracy.</x:v>
      </x:c>
      <x:c r="X122" s="43" t="str">
        <x:v>Moderate</x:v>
      </x:c>
      <x:c r="Y122" s="43" t="str">
        <x:v>Scientifically defensible with substantial supporting literature, while causal identification, construct boundaries, measurement, or transferability remain context dependent. Representative records: SRC166; SRC136.</x:v>
      </x:c>
      <x:c r="Z122" s="43" t="str">
        <x:v>Treating source credibility or fluency as an objective property rather than a perceiver-specific judgment or cue.</x:v>
      </x:c>
      <x:c r="AA122" s="43" t="str">
        <x:v>SRC166; SRC136</x:v>
      </x:c>
    </x:row>
    <x:row r="123" ht="72" customHeight="1">
      <x:c r="A123" s="43" t="str">
        <x:v>PSY-119</x:v>
      </x:c>
      <x:c r="B123" s="43" t="str">
        <x:v>Perceived Information Sufficiency</x:v>
      </x:c>
      <x:c r="C123" s="43" t="str">
        <x:v>Information sufficiency; perceived adequacy of knowledge</x:v>
      </x:c>
      <x:c r="D123" s="43" t="str">
        <x:v>Psychological</x:v>
      </x:c>
      <x:c r="E123" s="43" t="str">
        <x:v>Epistemic Trust &amp; Persuasion</x:v>
      </x:c>
      <x:c r="F123" s="43" t="str">
        <x:v>The degree to which the information currently available is judged sufficient to make a specified decision or reach a conclusion.</x:v>
      </x:c>
      <x:c r="G123" s="43" t="str">
        <x:v>Unipolar continuous</x:v>
      </x:c>
      <x:c r="H123" s="43" t="str">
        <x:v>Insufficient–fully sufficient; sufficiency gap</x:v>
      </x:c>
      <x:c r="I123" s="43" t="str">
        <x:v>Higher values = greater judged adequacy of available information.</x:v>
      </x:c>
      <x:c r="J123" s="43" t="str">
        <x:v>Reduces additional search and increases readiness to decide or communicate a conclusion.</x:v>
      </x:c>
      <x:c r="K123" s="43" t="str">
        <x:v>Source cues; argument content; prior beliefs; uncertainty; warnings; social endorsement</x:v>
      </x:c>
      <x:c r="L123" s="43" t="str">
        <x:v>Belief updating; acceptance; rejection; information search; resistance; sharing intention</x:v>
      </x:c>
      <x:c r="M123" s="43" t="str">
        <x:v>Prior belief, involvement, motivation, ability, source identity, message repetition, and accountability.</x:v>
      </x:c>
      <x:c r="N123" s="43" t="str">
        <x:v>Perceived Source Credibility; Perceived Argument Strength; Prior-Belief Congruence; Need for Cognition</x:v>
      </x:c>
      <x:c r="O123" s="43" t="str">
        <x:v>High</x:v>
      </x:c>
      <x:c r="P123" s="43" t="str">
        <x:v>Moderate</x:v>
      </x:c>
      <x:c r="Q123" s="43" t="str">
        <x:v>Minutes–Hours</x:v>
      </x:c>
      <x:c r="R123" s="43" t="str">
        <x:v>Seconds–Minutes</x:v>
      </x:c>
      <x:c r="S123" s="43" t="str">
        <x:v>Usually reversible as cues, resources, or interpretations change; repeated appraisal can stabilize.</x:v>
      </x:c>
      <x:c r="T123" s="43" t="str">
        <x:v>Search stopping; sufficiency rating; decision readiness</x:v>
      </x:c>
      <x:c r="U123" s="43" t="str">
        <x:v>Credibility and argument-rating scales; belief-updating tasks; thought-listing; confidence calibration; search behavior</x:v>
      </x:c>
      <x:c r="V123" s="43" t="str">
        <x:v>Moderate</x:v>
      </x:c>
      <x:c r="W123" s="43" t="str">
        <x:v>Acceptance can reflect source heuristics, content, fluency, prior belief, or social alignment; confidence is not equivalent to accuracy.</x:v>
      </x:c>
      <x:c r="X123" s="43" t="str">
        <x:v>Moderate</x:v>
      </x:c>
      <x:c r="Y123" s="43" t="str">
        <x:v>Scientifically defensible with substantial supporting literature, while causal identification, construct boundaries, measurement, or transferability remain context dependent. Representative records: SRC167; SRC119.</x:v>
      </x:c>
      <x:c r="Z123" s="43" t="str">
        <x:v>Treating source credibility or fluency as an objective property rather than a perceiver-specific judgment or cue.</x:v>
      </x:c>
      <x:c r="AA123" s="43" t="str">
        <x:v>SRC167; SRC119</x:v>
      </x:c>
    </x:row>
    <x:row r="124" ht="72" customHeight="1">
      <x:c r="A124" s="43" t="str">
        <x:v>PSY-120</x:v>
      </x:c>
      <x:c r="B124" s="43" t="str">
        <x:v>Conscientiousness</x:v>
      </x:c>
      <x:c r="C124" s="43" t="str">
        <x:v>Big Five conscientiousness; planfulness and dependability</x:v>
      </x:c>
      <x:c r="D124" s="43" t="str">
        <x:v>Psychological</x:v>
      </x:c>
      <x:c r="E124" s="43" t="str">
        <x:v>Stable Dispositions &amp; Temperament</x:v>
      </x:c>
      <x:c r="F124" s="43" t="str">
        <x:v>A relatively enduring tendency toward organization, diligence, responsibility, and goal-directed self-discipline.</x:v>
      </x:c>
      <x:c r="G124" s="43" t="str">
        <x:v>Multidimensional</x:v>
      </x:c>
      <x:c r="H124" s="43" t="str">
        <x:v>Validated broad trait score with facet profile</x:v>
      </x:c>
      <x:c r="I124" s="43" t="str">
        <x:v>Higher values = stronger typical organization, diligence, and dependability.</x:v>
      </x:c>
      <x:c r="J124" s="43" t="str">
        <x:v>Biases planning, persistence, rule adherence, and impulse management across situations.</x:v>
      </x:c>
      <x:c r="K124" s="43" t="str">
        <x:v>Development; socialization; repeated experience; learning; biological predispositions; long-term environment</x:v>
      </x:c>
      <x:c r="L124" s="43" t="str">
        <x:v>Cross-situational appraisal tendencies; self-regulation; social behavior; exploration; risk and reward responsiveness</x:v>
      </x:c>
      <x:c r="M124" s="43" t="str">
        <x:v>Situation strength, role demands, culture, age, measurement breadth, current state, and person-situation fit.</x:v>
      </x:c>
      <x:c r="N124" s="43" t="str">
        <x:v>Cognitive Load; Perceived Threat Severity; Goal Commitment; Reward Sensitivity</x:v>
      </x:c>
      <x:c r="O124" s="43" t="str">
        <x:v>Low</x:v>
      </x:c>
      <x:c r="P124" s="43" t="str">
        <x:v>Very Low</x:v>
      </x:c>
      <x:c r="Q124" s="43" t="str">
        <x:v>Months–Years</x:v>
      </x:c>
      <x:c r="R124" s="43" t="str">
        <x:v>Mixed / Context-dependent</x:v>
      </x:c>
      <x:c r="S124" s="43" t="str">
        <x:v>Relatively enduring across years, while momentary expression remains situation-dependent.</x:v>
      </x:c>
      <x:c r="T124" s="43" t="str">
        <x:v>Trait inventory; informant rating; longitudinal behavioral consistency</x:v>
      </x:c>
      <x:c r="U124" s="43" t="str">
        <x:v>Validated trait inventories; informant reports; longitudinal assessment; aggregated behavioral indicators</x:v>
      </x:c>
      <x:c r="V124" s="43" t="str">
        <x:v>Low</x:v>
      </x:c>
      <x:c r="W124" s="43" t="str">
        <x:v>Trait scores are probabilistic, instrument-dependent summaries; short forms and cross-cultural use can reduce reliability or equivalence.</x:v>
      </x:c>
      <x:c r="X124" s="43" t="str">
        <x:v>Strong</x:v>
      </x:c>
      <x:c r="Y124" s="43" t="str">
        <x:v>Supported by established theory, validated measures, and converging review, meta-analytic, experimental, or longitudinal evidence. Magnitude and behavioral direction remain conditional on context. Representative records: SRC202; SRC203.</x:v>
      </x:c>
      <x:c r="Z124" s="43" t="str">
        <x:v>Treating traits as deterministic causes, diagnoses, moral evaluations, or explanations that make situational analysis unnecessary.</x:v>
      </x:c>
      <x:c r="AA124" s="43" t="str">
        <x:v>SRC202; SRC203</x:v>
      </x:c>
    </x:row>
    <x:row r="125" ht="72" customHeight="1">
      <x:c r="A125" s="43" t="str">
        <x:v>PSY-121</x:v>
      </x:c>
      <x:c r="B125" s="43" t="str">
        <x:v>Neuroticism</x:v>
      </x:c>
      <x:c r="C125" s="43" t="str">
        <x:v>Negative emotionality; emotional instability</x:v>
      </x:c>
      <x:c r="D125" s="43" t="str">
        <x:v>Psychological</x:v>
      </x:c>
      <x:c r="E125" s="43" t="str">
        <x:v>Stable Dispositions &amp; Temperament</x:v>
      </x:c>
      <x:c r="F125" s="43" t="str">
        <x:v>A relatively enduring tendency toward frequent or intense negative affect and sensitivity to stress and threat.</x:v>
      </x:c>
      <x:c r="G125" s="43" t="str">
        <x:v>Multidimensional</x:v>
      </x:c>
      <x:c r="H125" s="43" t="str">
        <x:v>Validated broad trait score with anxiety, volatility, and withdrawal facets</x:v>
      </x:c>
      <x:c r="I125" s="43" t="str">
        <x:v>Higher values = greater typical negative emotionality and stress reactivity.</x:v>
      </x:c>
      <x:c r="J125" s="43" t="str">
        <x:v>Biases threat appraisal, affective intensity, avoidance, and coping across contexts.</x:v>
      </x:c>
      <x:c r="K125" s="43" t="str">
        <x:v>Development; socialization; repeated experience; learning; biological predispositions; long-term environment</x:v>
      </x:c>
      <x:c r="L125" s="43" t="str">
        <x:v>Cross-situational appraisal tendencies; self-regulation; social behavior; exploration; risk and reward responsiveness</x:v>
      </x:c>
      <x:c r="M125" s="43" t="str">
        <x:v>Situation strength, role demands, culture, age, measurement breadth, current state, and person-situation fit.</x:v>
      </x:c>
      <x:c r="N125" s="43" t="str">
        <x:v>Cognitive Load; Perceived Threat Severity; Goal Commitment; Reward Sensitivity</x:v>
      </x:c>
      <x:c r="O125" s="43" t="str">
        <x:v>Low</x:v>
      </x:c>
      <x:c r="P125" s="43" t="str">
        <x:v>Very Low</x:v>
      </x:c>
      <x:c r="Q125" s="43" t="str">
        <x:v>Months–Years</x:v>
      </x:c>
      <x:c r="R125" s="43" t="str">
        <x:v>Mixed / Context-dependent</x:v>
      </x:c>
      <x:c r="S125" s="43" t="str">
        <x:v>Relatively enduring across years, while momentary expression remains situation-dependent.</x:v>
      </x:c>
      <x:c r="T125" s="43" t="str">
        <x:v>Trait inventory; informant rating; aggregated negative-affect reports</x:v>
      </x:c>
      <x:c r="U125" s="43" t="str">
        <x:v>Validated trait inventories; informant reports; longitudinal assessment; aggregated behavioral indicators</x:v>
      </x:c>
      <x:c r="V125" s="43" t="str">
        <x:v>Low</x:v>
      </x:c>
      <x:c r="W125" s="43" t="str">
        <x:v>Trait scores are probabilistic, instrument-dependent summaries; short forms and cross-cultural use can reduce reliability or equivalence.</x:v>
      </x:c>
      <x:c r="X125" s="43" t="str">
        <x:v>Strong</x:v>
      </x:c>
      <x:c r="Y125" s="43" t="str">
        <x:v>Supported by established theory, validated measures, and converging review, meta-analytic, experimental, or longitudinal evidence. Magnitude and behavioral direction remain conditional on context. Representative records: SRC202; SRC204.</x:v>
      </x:c>
      <x:c r="Z125" s="43" t="str">
        <x:v>Treating traits as deterministic causes, diagnoses, moral evaluations, or explanations that make situational analysis unnecessary.</x:v>
      </x:c>
      <x:c r="AA125" s="43" t="str">
        <x:v>SRC202; SRC204</x:v>
      </x:c>
    </x:row>
    <x:row r="126" ht="72" customHeight="1">
      <x:c r="A126" s="43" t="str">
        <x:v>PSY-122</x:v>
      </x:c>
      <x:c r="B126" s="43" t="str">
        <x:v>Extraversion</x:v>
      </x:c>
      <x:c r="C126" s="43" t="str">
        <x:v>Surgency; positive emotionality</x:v>
      </x:c>
      <x:c r="D126" s="43" t="str">
        <x:v>Psychological</x:v>
      </x:c>
      <x:c r="E126" s="43" t="str">
        <x:v>Stable Dispositions &amp; Temperament</x:v>
      </x:c>
      <x:c r="F126" s="43" t="str">
        <x:v>A relatively enduring tendency toward sociability, assertiveness, activity, and reward-related positive affect.</x:v>
      </x:c>
      <x:c r="G126" s="43" t="str">
        <x:v>Multidimensional</x:v>
      </x:c>
      <x:c r="H126" s="43" t="str">
        <x:v>Validated broad trait score with sociability, assertiveness, and energy facets</x:v>
      </x:c>
      <x:c r="I126" s="43" t="str">
        <x:v>Higher values = greater typical sociability, assertiveness, and activation.</x:v>
      </x:c>
      <x:c r="J126" s="43" t="str">
        <x:v>Biases approach, social engagement, reward pursuit, and expressive behavior.</x:v>
      </x:c>
      <x:c r="K126" s="43" t="str">
        <x:v>Development; socialization; repeated experience; learning; biological predispositions; long-term environment</x:v>
      </x:c>
      <x:c r="L126" s="43" t="str">
        <x:v>Cross-situational appraisal tendencies; self-regulation; social behavior; exploration; risk and reward responsiveness</x:v>
      </x:c>
      <x:c r="M126" s="43" t="str">
        <x:v>Situation strength, role demands, culture, age, measurement breadth, current state, and person-situation fit.</x:v>
      </x:c>
      <x:c r="N126" s="43" t="str">
        <x:v>Cognitive Load; Perceived Threat Severity; Goal Commitment; Reward Sensitivity</x:v>
      </x:c>
      <x:c r="O126" s="43" t="str">
        <x:v>Low</x:v>
      </x:c>
      <x:c r="P126" s="43" t="str">
        <x:v>Very Low</x:v>
      </x:c>
      <x:c r="Q126" s="43" t="str">
        <x:v>Months–Years</x:v>
      </x:c>
      <x:c r="R126" s="43" t="str">
        <x:v>Mixed / Context-dependent</x:v>
      </x:c>
      <x:c r="S126" s="43" t="str">
        <x:v>Relatively enduring across years, while momentary expression remains situation-dependent.</x:v>
      </x:c>
      <x:c r="T126" s="43" t="str">
        <x:v>Trait inventory; informant rating; aggregated social approach</x:v>
      </x:c>
      <x:c r="U126" s="43" t="str">
        <x:v>Validated trait inventories; informant reports; longitudinal assessment; aggregated behavioral indicators</x:v>
      </x:c>
      <x:c r="V126" s="43" t="str">
        <x:v>Low</x:v>
      </x:c>
      <x:c r="W126" s="43" t="str">
        <x:v>Trait scores are probabilistic, instrument-dependent summaries; short forms and cross-cultural use can reduce reliability or equivalence.</x:v>
      </x:c>
      <x:c r="X126" s="43" t="str">
        <x:v>Strong</x:v>
      </x:c>
      <x:c r="Y126" s="43" t="str">
        <x:v>Supported by established theory, validated measures, and converging review, meta-analytic, experimental, or longitudinal evidence. Magnitude and behavioral direction remain conditional on context. Representative records: SRC202; SRC203.</x:v>
      </x:c>
      <x:c r="Z126" s="43" t="str">
        <x:v>Treating traits as deterministic causes, diagnoses, moral evaluations, or explanations that make situational analysis unnecessary.</x:v>
      </x:c>
      <x:c r="AA126" s="43" t="str">
        <x:v>SRC202; SRC203</x:v>
      </x:c>
    </x:row>
    <x:row r="127" ht="72" customHeight="1">
      <x:c r="A127" s="43" t="str">
        <x:v>PSY-123</x:v>
      </x:c>
      <x:c r="B127" s="43" t="str">
        <x:v>Agreeableness</x:v>
      </x:c>
      <x:c r="C127" s="43" t="str">
        <x:v>Communion; prosocial orientation</x:v>
      </x:c>
      <x:c r="D127" s="43" t="str">
        <x:v>Psychological</x:v>
      </x:c>
      <x:c r="E127" s="43" t="str">
        <x:v>Stable Dispositions &amp; Temperament</x:v>
      </x:c>
      <x:c r="F127" s="43" t="str">
        <x:v>A relatively enduring tendency toward compassion, respectfulness, trust, and cooperative interpersonal behavior.</x:v>
      </x:c>
      <x:c r="G127" s="43" t="str">
        <x:v>Multidimensional</x:v>
      </x:c>
      <x:c r="H127" s="43" t="str">
        <x:v>Validated broad trait score with compassion and respectfulness facets</x:v>
      </x:c>
      <x:c r="I127" s="43" t="str">
        <x:v>Higher values = greater typical cooperativeness and interpersonal concern.</x:v>
      </x:c>
      <x:c r="J127" s="43" t="str">
        <x:v>Biases trust, conflict response, helping, and willingness to accommodate others.</x:v>
      </x:c>
      <x:c r="K127" s="43" t="str">
        <x:v>Development; socialization; repeated experience; learning; biological predispositions; long-term environment</x:v>
      </x:c>
      <x:c r="L127" s="43" t="str">
        <x:v>Cross-situational appraisal tendencies; self-regulation; social behavior; exploration; risk and reward responsiveness</x:v>
      </x:c>
      <x:c r="M127" s="43" t="str">
        <x:v>Situation strength, role demands, culture, age, measurement breadth, current state, and person-situation fit.</x:v>
      </x:c>
      <x:c r="N127" s="43" t="str">
        <x:v>Cognitive Load; Perceived Threat Severity; Goal Commitment; Reward Sensitivity</x:v>
      </x:c>
      <x:c r="O127" s="43" t="str">
        <x:v>Low</x:v>
      </x:c>
      <x:c r="P127" s="43" t="str">
        <x:v>Very Low</x:v>
      </x:c>
      <x:c r="Q127" s="43" t="str">
        <x:v>Months–Years</x:v>
      </x:c>
      <x:c r="R127" s="43" t="str">
        <x:v>Mixed / Context-dependent</x:v>
      </x:c>
      <x:c r="S127" s="43" t="str">
        <x:v>Relatively enduring across years, while momentary expression remains situation-dependent.</x:v>
      </x:c>
      <x:c r="T127" s="43" t="str">
        <x:v>Trait inventory; informant rating; aggregated cooperative behavior</x:v>
      </x:c>
      <x:c r="U127" s="43" t="str">
        <x:v>Validated trait inventories; informant reports; longitudinal assessment; aggregated behavioral indicators</x:v>
      </x:c>
      <x:c r="V127" s="43" t="str">
        <x:v>Low</x:v>
      </x:c>
      <x:c r="W127" s="43" t="str">
        <x:v>Trait scores are probabilistic, instrument-dependent summaries; short forms and cross-cultural use can reduce reliability or equivalence.</x:v>
      </x:c>
      <x:c r="X127" s="43" t="str">
        <x:v>Strong</x:v>
      </x:c>
      <x:c r="Y127" s="43" t="str">
        <x:v>Supported by established theory, validated measures, and converging review, meta-analytic, experimental, or longitudinal evidence. Magnitude and behavioral direction remain conditional on context. Representative records: SRC202; SRC203.</x:v>
      </x:c>
      <x:c r="Z127" s="43" t="str">
        <x:v>Treating traits as deterministic causes, diagnoses, moral evaluations, or explanations that make situational analysis unnecessary.</x:v>
      </x:c>
      <x:c r="AA127" s="43" t="str">
        <x:v>SRC202; SRC203</x:v>
      </x:c>
    </x:row>
    <x:row r="128" ht="72" customHeight="1">
      <x:c r="A128" s="43" t="str">
        <x:v>PSY-124</x:v>
      </x:c>
      <x:c r="B128" s="43" t="str">
        <x:v>Openness to Experience</x:v>
      </x:c>
      <x:c r="C128" s="43" t="str">
        <x:v>Open-mindedness; intellect and imagination</x:v>
      </x:c>
      <x:c r="D128" s="43" t="str">
        <x:v>Psychological</x:v>
      </x:c>
      <x:c r="E128" s="43" t="str">
        <x:v>Stable Dispositions &amp; Temperament</x:v>
      </x:c>
      <x:c r="F128" s="43" t="str">
        <x:v>A relatively enduring tendency toward intellectual curiosity, aesthetic sensitivity, imagination, and receptivity to novel ideas or experiences.</x:v>
      </x:c>
      <x:c r="G128" s="43" t="str">
        <x:v>Multidimensional</x:v>
      </x:c>
      <x:c r="H128" s="43" t="str">
        <x:v>Validated broad trait score with intellectual curiosity and aesthetic sensitivity facets</x:v>
      </x:c>
      <x:c r="I128" s="43" t="str">
        <x:v>Higher values = greater typical receptivity to novelty and complexity.</x:v>
      </x:c>
      <x:c r="J128" s="43" t="str">
        <x:v>Biases exploration, information search, tolerance for novelty, and updating under complex evidence.</x:v>
      </x:c>
      <x:c r="K128" s="43" t="str">
        <x:v>Development; socialization; repeated experience; learning; biological predispositions; long-term environment</x:v>
      </x:c>
      <x:c r="L128" s="43" t="str">
        <x:v>Cross-situational appraisal tendencies; self-regulation; social behavior; exploration; risk and reward responsiveness</x:v>
      </x:c>
      <x:c r="M128" s="43" t="str">
        <x:v>Situation strength, role demands, culture, age, measurement breadth, current state, and person-situation fit.</x:v>
      </x:c>
      <x:c r="N128" s="43" t="str">
        <x:v>Cognitive Load; Perceived Threat Severity; Goal Commitment; Reward Sensitivity</x:v>
      </x:c>
      <x:c r="O128" s="43" t="str">
        <x:v>Low</x:v>
      </x:c>
      <x:c r="P128" s="43" t="str">
        <x:v>Very Low</x:v>
      </x:c>
      <x:c r="Q128" s="43" t="str">
        <x:v>Months–Years</x:v>
      </x:c>
      <x:c r="R128" s="43" t="str">
        <x:v>Mixed / Context-dependent</x:v>
      </x:c>
      <x:c r="S128" s="43" t="str">
        <x:v>Relatively enduring across years, while momentary expression remains situation-dependent.</x:v>
      </x:c>
      <x:c r="T128" s="43" t="str">
        <x:v>Trait inventory; informant rating; novelty exploration</x:v>
      </x:c>
      <x:c r="U128" s="43" t="str">
        <x:v>Validated trait inventories; informant reports; longitudinal assessment; aggregated behavioral indicators</x:v>
      </x:c>
      <x:c r="V128" s="43" t="str">
        <x:v>Low</x:v>
      </x:c>
      <x:c r="W128" s="43" t="str">
        <x:v>Trait scores are probabilistic, instrument-dependent summaries; short forms and cross-cultural use can reduce reliability or equivalence.</x:v>
      </x:c>
      <x:c r="X128" s="43" t="str">
        <x:v>Strong</x:v>
      </x:c>
      <x:c r="Y128" s="43" t="str">
        <x:v>Supported by established theory, validated measures, and converging review, meta-analytic, experimental, or longitudinal evidence. Magnitude and behavioral direction remain conditional on context. Representative records: SRC202; SRC203.</x:v>
      </x:c>
      <x:c r="Z128" s="43" t="str">
        <x:v>Treating traits as deterministic causes, diagnoses, moral evaluations, or explanations that make situational analysis unnecessary.</x:v>
      </x:c>
      <x:c r="AA128" s="43" t="str">
        <x:v>SRC202; SRC203</x:v>
      </x:c>
    </x:row>
    <x:row r="129" ht="72" customHeight="1">
      <x:c r="A129" s="43" t="str">
        <x:v>PSY-125</x:v>
      </x:c>
      <x:c r="B129" s="43" t="str">
        <x:v>Trait Impulsivity</x:v>
      </x:c>
      <x:c r="C129" s="43" t="str">
        <x:v>Disinhibition; impulsive tendency</x:v>
      </x:c>
      <x:c r="D129" s="43" t="str">
        <x:v>Psychological</x:v>
      </x:c>
      <x:c r="E129" s="43" t="str">
        <x:v>Stable Dispositions &amp; Temperament</x:v>
      </x:c>
      <x:c r="F129" s="43" t="str">
        <x:v>A relatively enduring tendency to act rapidly or without sufficient forethought across relevant situations.</x:v>
      </x:c>
      <x:c r="G129" s="43" t="str">
        <x:v>Multidimensional</x:v>
      </x:c>
      <x:c r="H129" s="43" t="str">
        <x:v>Validated impulsivity profile; urgency, lack of premeditation, and related facets</x:v>
      </x:c>
      <x:c r="I129" s="43" t="str">
        <x:v>Higher values = greater typical impulsive responding.</x:v>
      </x:c>
      <x:c r="J129" s="43" t="str">
        <x:v>Raises the probability that immediate cues or affect bypass deliberation and longer-term goals.</x:v>
      </x:c>
      <x:c r="K129" s="43" t="str">
        <x:v>Development; socialization; repeated experience; learning; biological predispositions; long-term environment</x:v>
      </x:c>
      <x:c r="L129" s="43" t="str">
        <x:v>Cross-situational appraisal tendencies; self-regulation; social behavior; exploration; risk and reward responsiveness</x:v>
      </x:c>
      <x:c r="M129" s="43" t="str">
        <x:v>Situation strength, role demands, culture, age, measurement breadth, current state, and person-situation fit.</x:v>
      </x:c>
      <x:c r="N129" s="43" t="str">
        <x:v>Cognitive Load; Perceived Threat Severity; Goal Commitment; Reward Sensitivity</x:v>
      </x:c>
      <x:c r="O129" s="43" t="str">
        <x:v>Low</x:v>
      </x:c>
      <x:c r="P129" s="43" t="str">
        <x:v>Very Low</x:v>
      </x:c>
      <x:c r="Q129" s="43" t="str">
        <x:v>Months–Years</x:v>
      </x:c>
      <x:c r="R129" s="43" t="str">
        <x:v>Mixed / Context-dependent</x:v>
      </x:c>
      <x:c r="S129" s="43" t="str">
        <x:v>Relatively enduring across years, while momentary expression remains situation-dependent.</x:v>
      </x:c>
      <x:c r="T129" s="43" t="str">
        <x:v>Trait inventory; informant rating; aggregated impulsive choices</x:v>
      </x:c>
      <x:c r="U129" s="43" t="str">
        <x:v>Validated trait inventories; informant reports; longitudinal assessment; aggregated behavioral indicators</x:v>
      </x:c>
      <x:c r="V129" s="43" t="str">
        <x:v>Low</x:v>
      </x:c>
      <x:c r="W129" s="43" t="str">
        <x:v>Trait scores are probabilistic, instrument-dependent summaries; short forms and cross-cultural use can reduce reliability or equivalence.</x:v>
      </x:c>
      <x:c r="X129" s="43" t="str">
        <x:v>Strong</x:v>
      </x:c>
      <x:c r="Y129" s="43" t="str">
        <x:v>Supported by established theory, validated measures, and converging review, meta-analytic, experimental, or longitudinal evidence. Magnitude and behavioral direction remain conditional on context. Representative records: SRC205; SRC126.</x:v>
      </x:c>
      <x:c r="Z129" s="43" t="str">
        <x:v>Treating traits as deterministic causes, diagnoses, moral evaluations, or explanations that make situational analysis unnecessary.</x:v>
      </x:c>
      <x:c r="AA129" s="43" t="str">
        <x:v>SRC205; SRC126</x:v>
      </x:c>
    </x:row>
    <x:row r="130" ht="72" customHeight="1">
      <x:c r="A130" s="43" t="str">
        <x:v>PSY-126</x:v>
      </x:c>
      <x:c r="B130" s="43" t="str">
        <x:v>Sensation Seeking</x:v>
      </x:c>
      <x:c r="C130" s="43" t="str">
        <x:v>Novelty and intensity seeking; thrill seeking</x:v>
      </x:c>
      <x:c r="D130" s="43" t="str">
        <x:v>Psychological</x:v>
      </x:c>
      <x:c r="E130" s="43" t="str">
        <x:v>Stable Dispositions &amp; Temperament</x:v>
      </x:c>
      <x:c r="F130" s="43" t="str">
        <x:v>A relatively enduring preference for novel, varied, complex, and intense experiences and willingness to accept risk for such experiences.</x:v>
      </x:c>
      <x:c r="G130" s="43" t="str">
        <x:v>Multidimensional</x:v>
      </x:c>
      <x:c r="H130" s="43" t="str">
        <x:v>Validated sensation-seeking total or facet profile</x:v>
      </x:c>
      <x:c r="I130" s="43" t="str">
        <x:v>Higher values = stronger preference for novelty and intensity.</x:v>
      </x:c>
      <x:c r="J130" s="43" t="str">
        <x:v>Increases approach to stimulating options and can raise risk taking where novelty or intensity is rewarding.</x:v>
      </x:c>
      <x:c r="K130" s="43" t="str">
        <x:v>Development; socialization; repeated experience; learning; biological predispositions; long-term environment</x:v>
      </x:c>
      <x:c r="L130" s="43" t="str">
        <x:v>Cross-situational appraisal tendencies; self-regulation; social behavior; exploration; risk and reward responsiveness</x:v>
      </x:c>
      <x:c r="M130" s="43" t="str">
        <x:v>Situation strength, role demands, culture, age, measurement breadth, current state, and person-situation fit.</x:v>
      </x:c>
      <x:c r="N130" s="43" t="str">
        <x:v>Cognitive Load; Perceived Threat Severity; Goal Commitment; Reward Sensitivity</x:v>
      </x:c>
      <x:c r="O130" s="43" t="str">
        <x:v>Low</x:v>
      </x:c>
      <x:c r="P130" s="43" t="str">
        <x:v>Very Low</x:v>
      </x:c>
      <x:c r="Q130" s="43" t="str">
        <x:v>Months–Years</x:v>
      </x:c>
      <x:c r="R130" s="43" t="str">
        <x:v>Mixed / Context-dependent</x:v>
      </x:c>
      <x:c r="S130" s="43" t="str">
        <x:v>Relatively enduring across years, while momentary expression remains situation-dependent.</x:v>
      </x:c>
      <x:c r="T130" s="43" t="str">
        <x:v>Trait scale; novelty choice; high-intensity activity preference</x:v>
      </x:c>
      <x:c r="U130" s="43" t="str">
        <x:v>Validated trait inventories; informant reports; longitudinal assessment; aggregated behavioral indicators</x:v>
      </x:c>
      <x:c r="V130" s="43" t="str">
        <x:v>Low</x:v>
      </x:c>
      <x:c r="W130" s="43" t="str">
        <x:v>Trait scores are probabilistic, instrument-dependent summaries; short forms and cross-cultural use can reduce reliability or equivalence.</x:v>
      </x:c>
      <x:c r="X130" s="43" t="str">
        <x:v>Strong</x:v>
      </x:c>
      <x:c r="Y130" s="43" t="str">
        <x:v>Supported by established theory, validated measures, and converging review, meta-analytic, experimental, or longitudinal evidence. Magnitude and behavioral direction remain conditional on context. Representative records: SRC206; SRC163.</x:v>
      </x:c>
      <x:c r="Z130" s="43" t="str">
        <x:v>Treating traits as deterministic causes, diagnoses, moral evaluations, or explanations that make situational analysis unnecessary.</x:v>
      </x:c>
      <x:c r="AA130" s="43" t="str">
        <x:v>SRC206; SRC163</x:v>
      </x:c>
    </x:row>
    <x:row r="131" ht="72" customHeight="1">
      <x:c r="A131" s="43" t="str">
        <x:v>PSY-127</x:v>
      </x:c>
      <x:c r="B131" s="43" t="str">
        <x:v>Reward Sensitivity</x:v>
      </x:c>
      <x:c r="C131" s="43" t="str">
        <x:v>Behavioral activation sensitivity; reward responsiveness</x:v>
      </x:c>
      <x:c r="D131" s="43" t="str">
        <x:v>Psychological</x:v>
      </x:c>
      <x:c r="E131" s="43" t="str">
        <x:v>Stable Dispositions &amp; Temperament</x:v>
      </x:c>
      <x:c r="F131" s="43" t="str">
        <x:v>A relatively enduring sensitivity to cues of reward and the motivational activation they produce.</x:v>
      </x:c>
      <x:c r="G131" s="43" t="str">
        <x:v>Unipolar continuous</x:v>
      </x:c>
      <x:c r="H131" s="43" t="str">
        <x:v>Low–high reward responsiveness or behavioral activation score</x:v>
      </x:c>
      <x:c r="I131" s="43" t="str">
        <x:v>Higher values = stronger response to anticipated or obtained reward.</x:v>
      </x:c>
      <x:c r="J131" s="43" t="str">
        <x:v>Amplifies approach motivation and learning from rewarding outcomes.</x:v>
      </x:c>
      <x:c r="K131" s="43" t="str">
        <x:v>Development; socialization; repeated experience; learning; biological predispositions; long-term environment</x:v>
      </x:c>
      <x:c r="L131" s="43" t="str">
        <x:v>Cross-situational appraisal tendencies; self-regulation; social behavior; exploration; risk and reward responsiveness</x:v>
      </x:c>
      <x:c r="M131" s="43" t="str">
        <x:v>Situation strength, role demands, culture, age, measurement breadth, current state, and person-situation fit.</x:v>
      </x:c>
      <x:c r="N131" s="43" t="str">
        <x:v>Cognitive Load; Perceived Threat Severity; Goal Commitment; Reward Sensitivity</x:v>
      </x:c>
      <x:c r="O131" s="43" t="str">
        <x:v>Low</x:v>
      </x:c>
      <x:c r="P131" s="43" t="str">
        <x:v>Very Low</x:v>
      </x:c>
      <x:c r="Q131" s="43" t="str">
        <x:v>Months–Years</x:v>
      </x:c>
      <x:c r="R131" s="43" t="str">
        <x:v>Mixed / Context-dependent</x:v>
      </x:c>
      <x:c r="S131" s="43" t="str">
        <x:v>Relatively enduring across years, while momentary expression remains situation-dependent.</x:v>
      </x:c>
      <x:c r="T131" s="43" t="str">
        <x:v>BAS score; reward-cue response; approach learning</x:v>
      </x:c>
      <x:c r="U131" s="43" t="str">
        <x:v>Validated trait inventories; informant reports; longitudinal assessment; aggregated behavioral indicators</x:v>
      </x:c>
      <x:c r="V131" s="43" t="str">
        <x:v>Low</x:v>
      </x:c>
      <x:c r="W131" s="43" t="str">
        <x:v>Trait scores are probabilistic, instrument-dependent summaries; short forms and cross-cultural use can reduce reliability or equivalence.</x:v>
      </x:c>
      <x:c r="X131" s="43" t="str">
        <x:v>Moderate</x:v>
      </x:c>
      <x:c r="Y131" s="43" t="str">
        <x:v>Scientifically defensible with substantial supporting literature, while causal identification, construct boundaries, measurement, or transferability remain context dependent. Representative records: SRC163; SRC111.</x:v>
      </x:c>
      <x:c r="Z131" s="43" t="str">
        <x:v>Treating traits as deterministic causes, diagnoses, moral evaluations, or explanations that make situational analysis unnecessary.</x:v>
      </x:c>
      <x:c r="AA131" s="43" t="str">
        <x:v>SRC163; SRC111</x:v>
      </x:c>
    </x:row>
    <x:row r="132" ht="72" customHeight="1">
      <x:c r="A132" s="43" t="str">
        <x:v>PSY-128</x:v>
      </x:c>
      <x:c r="B132" s="43" t="str">
        <x:v>Punishment Sensitivity</x:v>
      </x:c>
      <x:c r="C132" s="43" t="str">
        <x:v>Threat sensitivity; behavioral inhibition sensitivity</x:v>
      </x:c>
      <x:c r="D132" s="43" t="str">
        <x:v>Psychological</x:v>
      </x:c>
      <x:c r="E132" s="43" t="str">
        <x:v>Stable Dispositions &amp; Temperament</x:v>
      </x:c>
      <x:c r="F132" s="43" t="str">
        <x:v>A relatively enduring sensitivity to cues of punishment, conflict, novelty, or possible threat.</x:v>
      </x:c>
      <x:c r="G132" s="43" t="str">
        <x:v>Unipolar continuous</x:v>
      </x:c>
      <x:c r="H132" s="43" t="str">
        <x:v>Low–high punishment sensitivity or behavioral inhibition score</x:v>
      </x:c>
      <x:c r="I132" s="43" t="str">
        <x:v>Higher values = stronger response to potential punishment or conflict.</x:v>
      </x:c>
      <x:c r="J132" s="43" t="str">
        <x:v>Amplifies vigilance, anxiety, avoidance, and cautious choice in threat-relevant contexts.</x:v>
      </x:c>
      <x:c r="K132" s="43" t="str">
        <x:v>Development; socialization; repeated experience; learning; biological predispositions; long-term environment</x:v>
      </x:c>
      <x:c r="L132" s="43" t="str">
        <x:v>Cross-situational appraisal tendencies; self-regulation; social behavior; exploration; risk and reward responsiveness</x:v>
      </x:c>
      <x:c r="M132" s="43" t="str">
        <x:v>Situation strength, role demands, culture, age, measurement breadth, current state, and person-situation fit.</x:v>
      </x:c>
      <x:c r="N132" s="43" t="str">
        <x:v>Cognitive Load; Perceived Threat Severity; Goal Commitment; Reward Sensitivity</x:v>
      </x:c>
      <x:c r="O132" s="43" t="str">
        <x:v>Low</x:v>
      </x:c>
      <x:c r="P132" s="43" t="str">
        <x:v>Very Low</x:v>
      </x:c>
      <x:c r="Q132" s="43" t="str">
        <x:v>Months–Years</x:v>
      </x:c>
      <x:c r="R132" s="43" t="str">
        <x:v>Mixed / Context-dependent</x:v>
      </x:c>
      <x:c r="S132" s="43" t="str">
        <x:v>Relatively enduring across years, while momentary expression remains situation-dependent.</x:v>
      </x:c>
      <x:c r="T132" s="43" t="str">
        <x:v>BIS score; threat vigilance; avoidance learning</x:v>
      </x:c>
      <x:c r="U132" s="43" t="str">
        <x:v>Validated trait inventories; informant reports; longitudinal assessment; aggregated behavioral indicators</x:v>
      </x:c>
      <x:c r="V132" s="43" t="str">
        <x:v>Low</x:v>
      </x:c>
      <x:c r="W132" s="43" t="str">
        <x:v>Trait scores are probabilistic, instrument-dependent summaries; short forms and cross-cultural use can reduce reliability or equivalence.</x:v>
      </x:c>
      <x:c r="X132" s="43" t="str">
        <x:v>Moderate</x:v>
      </x:c>
      <x:c r="Y132" s="43" t="str">
        <x:v>Scientifically defensible with substantial supporting literature, while causal identification, construct boundaries, measurement, or transferability remain context dependent. Representative records: SRC163; SRC124.</x:v>
      </x:c>
      <x:c r="Z132" s="43" t="str">
        <x:v>Treating traits as deterministic causes, diagnoses, moral evaluations, or explanations that make situational analysis unnecessary.</x:v>
      </x:c>
      <x:c r="AA132" s="43" t="str">
        <x:v>SRC163; SRC124</x:v>
      </x:c>
    </x:row>
    <x:row r="133" ht="72" customHeight="1">
      <x:c r="A133" s="43" t="str">
        <x:v>PSY-129</x:v>
      </x:c>
      <x:c r="B133" s="43" t="str">
        <x:v>Need for Cognition</x:v>
      </x:c>
      <x:c r="C133" s="43" t="str">
        <x:v>Enjoyment of effortful thought; cognitive motivation</x:v>
      </x:c>
      <x:c r="D133" s="43" t="str">
        <x:v>Psychological</x:v>
      </x:c>
      <x:c r="E133" s="43" t="str">
        <x:v>Stable Dispositions &amp; Temperament</x:v>
      </x:c>
      <x:c r="F133" s="43" t="str">
        <x:v>A relatively enduring tendency to engage in and enjoy effortful cognitive activity.</x:v>
      </x:c>
      <x:c r="G133" s="43" t="str">
        <x:v>Unipolar continuous</x:v>
      </x:c>
      <x:c r="H133" s="43" t="str">
        <x:v>Validated low–high need-for-cognition scale</x:v>
      </x:c>
      <x:c r="I133" s="43" t="str">
        <x:v>Higher values = greater typical motivation for effortful thought.</x:v>
      </x:c>
      <x:c r="J133" s="43" t="str">
        <x:v>Increases elaboration and information search when cognitive effort is optional.</x:v>
      </x:c>
      <x:c r="K133" s="43" t="str">
        <x:v>Development; socialization; repeated experience; learning; biological predispositions; long-term environment</x:v>
      </x:c>
      <x:c r="L133" s="43" t="str">
        <x:v>Cross-situational appraisal tendencies; self-regulation; social behavior; exploration; risk and reward responsiveness</x:v>
      </x:c>
      <x:c r="M133" s="43" t="str">
        <x:v>Situation strength, role demands, culture, age, measurement breadth, current state, and person-situation fit.</x:v>
      </x:c>
      <x:c r="N133" s="43" t="str">
        <x:v>Cognitive Load; Perceived Threat Severity; Goal Commitment; Reward Sensitivity</x:v>
      </x:c>
      <x:c r="O133" s="43" t="str">
        <x:v>Low</x:v>
      </x:c>
      <x:c r="P133" s="43" t="str">
        <x:v>Very Low</x:v>
      </x:c>
      <x:c r="Q133" s="43" t="str">
        <x:v>Months–Years</x:v>
      </x:c>
      <x:c r="R133" s="43" t="str">
        <x:v>Mixed / Context-dependent</x:v>
      </x:c>
      <x:c r="S133" s="43" t="str">
        <x:v>Relatively enduring across years, while momentary expression remains situation-dependent.</x:v>
      </x:c>
      <x:c r="T133" s="43" t="str">
        <x:v>Need-for-cognition score; voluntary analysis; thought generation</x:v>
      </x:c>
      <x:c r="U133" s="43" t="str">
        <x:v>Validated trait inventories; informant reports; longitudinal assessment; aggregated behavioral indicators</x:v>
      </x:c>
      <x:c r="V133" s="43" t="str">
        <x:v>Low</x:v>
      </x:c>
      <x:c r="W133" s="43" t="str">
        <x:v>Trait scores are probabilistic, instrument-dependent summaries; short forms and cross-cultural use can reduce reliability or equivalence.</x:v>
      </x:c>
      <x:c r="X133" s="43" t="str">
        <x:v>Strong</x:v>
      </x:c>
      <x:c r="Y133" s="43" t="str">
        <x:v>Supported by established theory, validated measures, and converging review, meta-analytic, experimental, or longitudinal evidence. Magnitude and behavioral direction remain conditional on context. Representative records: SRC162; SRC117.</x:v>
      </x:c>
      <x:c r="Z133" s="43" t="str">
        <x:v>Treating traits as deterministic causes, diagnoses, moral evaluations, or explanations that make situational analysis unnecessary.</x:v>
      </x:c>
      <x:c r="AA133" s="43" t="str">
        <x:v>SRC162; SRC117</x:v>
      </x:c>
    </x:row>
    <x:row r="134" ht="72" customHeight="1">
      <x:c r="A134" s="43" t="str">
        <x:v>PSY-130</x:v>
      </x:c>
      <x:c r="B134" s="43" t="str">
        <x:v>Need for Closure</x:v>
      </x:c>
      <x:c r="C134" s="43" t="str">
        <x:v>Need for cognitive closure; closure motivation</x:v>
      </x:c>
      <x:c r="D134" s="43" t="str">
        <x:v>Psychological</x:v>
      </x:c>
      <x:c r="E134" s="43" t="str">
        <x:v>Stable Dispositions &amp; Temperament</x:v>
      </x:c>
      <x:c r="F134" s="43" t="str">
        <x:v>A relatively enduring or situationally elevated desire for a firm answer and aversion to ambiguity or unresolved uncertainty.</x:v>
      </x:c>
      <x:c r="G134" s="43" t="str">
        <x:v>Unipolar continuous</x:v>
      </x:c>
      <x:c r="H134" s="43" t="str">
        <x:v>Low–high need-for-closure scale with urgency and permanence facets</x:v>
      </x:c>
      <x:c r="I134" s="43" t="str">
        <x:v>Higher values = stronger desire to reach and preserve closure.</x:v>
      </x:c>
      <x:c r="J134" s="43" t="str">
        <x:v>Accelerates seizing on available explanations and freezing against later alternatives.</x:v>
      </x:c>
      <x:c r="K134" s="43" t="str">
        <x:v>Development; socialization; repeated experience; learning; biological predispositions; long-term environment</x:v>
      </x:c>
      <x:c r="L134" s="43" t="str">
        <x:v>Cross-situational appraisal tendencies; self-regulation; social behavior; exploration; risk and reward responsiveness</x:v>
      </x:c>
      <x:c r="M134" s="43" t="str">
        <x:v>Situation strength, role demands, culture, age, measurement breadth, current state, and person-situation fit.</x:v>
      </x:c>
      <x:c r="N134" s="43" t="str">
        <x:v>Cognitive Load; Perceived Threat Severity; Goal Commitment; Reward Sensitivity</x:v>
      </x:c>
      <x:c r="O134" s="43" t="str">
        <x:v>Low</x:v>
      </x:c>
      <x:c r="P134" s="43" t="str">
        <x:v>Very Low</x:v>
      </x:c>
      <x:c r="Q134" s="43" t="str">
        <x:v>Months–Years</x:v>
      </x:c>
      <x:c r="R134" s="43" t="str">
        <x:v>Mixed / Context-dependent</x:v>
      </x:c>
      <x:c r="S134" s="43" t="str">
        <x:v>Relatively enduring across years, while momentary expression remains situation-dependent.</x:v>
      </x:c>
      <x:c r="T134" s="43" t="str">
        <x:v>Closure scale; search stopping; early commitment; resistance to revision</x:v>
      </x:c>
      <x:c r="U134" s="43" t="str">
        <x:v>Validated trait inventories; informant reports; longitudinal assessment; aggregated behavioral indicators</x:v>
      </x:c>
      <x:c r="V134" s="43" t="str">
        <x:v>Low</x:v>
      </x:c>
      <x:c r="W134" s="43" t="str">
        <x:v>Trait scores are probabilistic, instrument-dependent summaries; short forms and cross-cultural use can reduce reliability or equivalence.</x:v>
      </x:c>
      <x:c r="X134" s="43" t="str">
        <x:v>Strong</x:v>
      </x:c>
      <x:c r="Y134" s="43" t="str">
        <x:v>Supported by established theory, validated measures, and converging review, meta-analytic, experimental, or longitudinal evidence. Magnitude and behavioral direction remain conditional on context. Representative records: SRC119; SRC123.</x:v>
      </x:c>
      <x:c r="Z134" s="43" t="str">
        <x:v>Treating traits as deterministic causes, diagnoses, moral evaluations, or explanations that make situational analysis unnecessary.</x:v>
      </x:c>
      <x:c r="AA134" s="43" t="str">
        <x:v>SRC119; SRC123</x:v>
      </x:c>
    </x:row>
    <x:row r="135" ht="72" customHeight="1">
      <x:c r="A135" s="43" t="str">
        <x:v>PSY-131</x:v>
      </x:c>
      <x:c r="B135" s="43" t="str">
        <x:v>Intolerance of Uncertainty</x:v>
      </x:c>
      <x:c r="C135" s="43" t="str">
        <x:v>Uncertainty intolerance; aversion to not knowing</x:v>
      </x:c>
      <x:c r="D135" s="43" t="str">
        <x:v>Psychological</x:v>
      </x:c>
      <x:c r="E135" s="43" t="str">
        <x:v>Stable Dispositions &amp; Temperament</x:v>
      </x:c>
      <x:c r="F135" s="43" t="str">
        <x:v>A relatively enduring tendency to experience uncertain situations and unknown outcomes as unacceptable or distressing.</x:v>
      </x:c>
      <x:c r="G135" s="43" t="str">
        <x:v>Unipolar continuous</x:v>
      </x:c>
      <x:c r="H135" s="43" t="str">
        <x:v>Validated low–high intolerance-of-uncertainty scale</x:v>
      </x:c>
      <x:c r="I135" s="43" t="str">
        <x:v>Higher values = greater distress and dysfunction in response to uncertainty.</x:v>
      </x:c>
      <x:c r="J135" s="43" t="str">
        <x:v>Increases worry, reassurance seeking, avoidance, and premature attempts to reduce uncertainty.</x:v>
      </x:c>
      <x:c r="K135" s="43" t="str">
        <x:v>Development; socialization; repeated experience; learning; biological predispositions; long-term environment</x:v>
      </x:c>
      <x:c r="L135" s="43" t="str">
        <x:v>Cross-situational appraisal tendencies; self-regulation; social behavior; exploration; risk and reward responsiveness</x:v>
      </x:c>
      <x:c r="M135" s="43" t="str">
        <x:v>Situation strength, role demands, culture, age, measurement breadth, current state, and person-situation fit.</x:v>
      </x:c>
      <x:c r="N135" s="43" t="str">
        <x:v>Cognitive Load; Perceived Threat Severity; Goal Commitment; Reward Sensitivity</x:v>
      </x:c>
      <x:c r="O135" s="43" t="str">
        <x:v>Low</x:v>
      </x:c>
      <x:c r="P135" s="43" t="str">
        <x:v>Very Low</x:v>
      </x:c>
      <x:c r="Q135" s="43" t="str">
        <x:v>Months–Years</x:v>
      </x:c>
      <x:c r="R135" s="43" t="str">
        <x:v>Mixed / Context-dependent</x:v>
      </x:c>
      <x:c r="S135" s="43" t="str">
        <x:v>Relatively enduring across years, while momentary expression remains situation-dependent.</x:v>
      </x:c>
      <x:c r="T135" s="43" t="str">
        <x:v>IU scale; reassurance seeking; worry; uncertainty avoidance</x:v>
      </x:c>
      <x:c r="U135" s="43" t="str">
        <x:v>Validated trait inventories; informant reports; longitudinal assessment; aggregated behavioral indicators</x:v>
      </x:c>
      <x:c r="V135" s="43" t="str">
        <x:v>Low</x:v>
      </x:c>
      <x:c r="W135" s="43" t="str">
        <x:v>Trait scores are probabilistic, instrument-dependent summaries; short forms and cross-cultural use can reduce reliability or equivalence.</x:v>
      </x:c>
      <x:c r="X135" s="43" t="str">
        <x:v>Strong</x:v>
      </x:c>
      <x:c r="Y135" s="43" t="str">
        <x:v>Supported by established theory, validated measures, and converging review, meta-analytic, experimental, or longitudinal evidence. Magnitude and behavioral direction remain conditional on context. Representative records: SRC123; SRC207.</x:v>
      </x:c>
      <x:c r="Z135" s="43" t="str">
        <x:v>Treating traits as deterministic causes, diagnoses, moral evaluations, or explanations that make situational analysis unnecessary.</x:v>
      </x:c>
      <x:c r="AA135" s="43" t="str">
        <x:v>SRC123; SRC207</x:v>
      </x:c>
    </x:row>
  </x:sheetData>
  <x:mergeCells>
    <x:mergeCell ref="A1:AA1"/>
    <x:mergeCell ref="A2:AA2"/>
  </x:mergeCells>
  <x:dataValidations count="11">
    <x:dataValidation type="list" sqref="G5:G74">
      <x:formula1>"Binary,Ordinal,Nominal categorical,Unipolar continuous,Bipolar continuous,Count,Frequency,Rate,Proportion,Duration,Magnitude / level,Time,Multidimensional,Other structured type"</x:formula1>
    </x:dataValidation>
    <x:dataValidation type="list" sqref="O5:O74">
      <x:formula1>"Very Low,Low,Moderate,High,Very High"</x:formula1>
    </x:dataValidation>
    <x:dataValidation type="list" sqref="P5:P74">
      <x:formula1>"Very Low,Low,Moderate,High,Very High"</x:formula1>
    </x:dataValidation>
    <x:dataValidation type="list" sqref="V5:V74">
      <x:formula1>"High,Moderate,Low"</x:formula1>
    </x:dataValidation>
    <x:dataValidation type="list" sqref="X5:X74">
      <x:formula1>"Strong,Moderate,Emerging,Mixed,Limited"</x:formula1>
    </x:dataValidation>
    <x:dataValidation type="list" sqref="D5:D135">
      <x:formula1>"Biological,Psychological,Social,Cultural,Physical / Environmental,Institutional / Structural,Informational,Technological"</x:formula1>
    </x:dataValidation>
    <x:dataValidation type="list" sqref="E5:E135">
      <x:formula1>'Families'!$B$5:$B$18</x:formula1>
    </x:dataValidation>
    <x:dataValidation type="list" sqref="G5:G135">
      <x:formula1>"Binary,Ordinal,Nominal categorical,Unipolar continuous,Bipolar continuous,Count,Frequency,Rate,Proportion,Duration,Magnitude / level,Time,Multidimensional,Other structured type"</x:formula1>
    </x:dataValidation>
    <x:dataValidation type="list" sqref="O5:P135">
      <x:formula1>"Very Low,Low,Moderate,High,Very High"</x:formula1>
    </x:dataValidation>
    <x:dataValidation type="list" sqref="V5:V135">
      <x:formula1>"High,Moderate,Low"</x:formula1>
    </x:dataValidation>
    <x:dataValidation type="list" sqref="X5:X135">
      <x:formula1>"Strong,Moderate,Emerging,Mixed,Limited"</x:formula1>
    </x:dataValidation>
  </x:dataValidations>
  <x:pageMargins left="0.7" right="0.7" top="0.75" bottom="0.75" header="0.3" footer="0.3"/>
  <x:tableParts count="1">
    <x:tablePart xmlns:r="http://schemas.openxmlformats.org/officeDocument/2006/relationships" r:id="R9ebd8d1c908249d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32" hidden="0" customWidth="1"/>
    <x:col min="4" max="4" width="50" hidden="0" customWidth="1"/>
    <x:col min="5" max="5" width="10" hidden="0" customWidth="1"/>
    <x:col min="6" max="6" width="28" hidden="0" customWidth="1"/>
    <x:col min="7" max="7" width="38" hidden="0" customWidth="1"/>
    <x:col min="8" max="8" width="48" hidden="0" customWidth="1"/>
    <x:col min="9" max="9" width="34" hidden="0" customWidth="1"/>
    <x:col min="10" max="10" width="42" hidden="0" customWidth="1"/>
    <x:col min="11" max="11" width="15" hidden="0" customWidth="1"/>
    <x:col min="12" max="12" width="38" hidden="0" customWidth="1"/>
    <x:col min="13" max="13" width="42" hidden="0" customWidth="1"/>
  </x:cols>
  <x:sheetData>
    <x:row r="1" ht="30" customHeight="1">
      <x:c r="A1" s="46" t="str">
        <x:v>PSYWERX Psychological Driver Ontology — Evidence Library</x:v>
      </x:c>
      <x:c r="B1" s="46"/>
      <x:c r="C1" s="46"/>
      <x:c r="D1" s="46"/>
      <x:c r="E1" s="46"/>
      <x:c r="F1" s="46"/>
      <x:c r="G1" s="46"/>
      <x:c r="H1" s="46"/>
      <x:c r="I1" s="46"/>
      <x:c r="J1" s="46"/>
      <x:c r="K1" s="46"/>
      <x:c r="L1" s="46"/>
      <x:c r="M1" s="46"/>
    </x:row>
    <x:row r="2" ht="42" customHeight="1">
      <x:c r="A2" s="49" t="str">
        <x:v>Representative authoritative, review, meta-analytic, methodological, and foundational sources linked by permanent driver IDs. This is traceability support, not a complete bibliography or a newly conducted systematic review.</x:v>
      </x:c>
      <x:c r="B2" s="49"/>
      <x:c r="C2" s="49"/>
      <x:c r="D2" s="49"/>
      <x:c r="E2" s="49"/>
      <x:c r="F2" s="49"/>
      <x:c r="G2" s="49"/>
      <x:c r="H2" s="49"/>
      <x:c r="I2" s="49"/>
      <x:c r="J2" s="49"/>
      <x:c r="K2" s="49"/>
      <x:c r="L2" s="49"/>
      <x:c r="M2" s="49"/>
    </x:row>
    <x:row r="3" ht="8" customHeight="1">
      <x:c r="A3" s="43"/>
      <x:c r="B3" s="43"/>
      <x:c r="C3" s="43"/>
      <x:c r="D3" s="43"/>
      <x:c r="E3" s="43"/>
      <x:c r="F3" s="43"/>
      <x:c r="G3" s="43"/>
      <x:c r="H3" s="43"/>
      <x:c r="I3" s="43"/>
      <x:c r="J3" s="43"/>
      <x:c r="K3" s="43"/>
      <x:c r="L3" s="43"/>
      <x:c r="M3" s="43"/>
    </x:row>
    <x:row r="4" ht="46" customHeight="1">
      <x:c r="A4" s="52" t="str">
        <x:v>Evidence ID</x:v>
      </x:c>
      <x:c r="B4" s="52" t="str">
        <x:v>Linked Driver IDs</x:v>
      </x:c>
      <x:c r="C4" s="52" t="str">
        <x:v>Family / Domain</x:v>
      </x:c>
      <x:c r="D4" s="52" t="str">
        <x:v>Citation / Title</x:v>
      </x:c>
      <x:c r="E4" s="52" t="str">
        <x:v>Year</x:v>
      </x:c>
      <x:c r="F4" s="52" t="str">
        <x:v>Evidence Type</x:v>
      </x:c>
      <x:c r="G4" s="52" t="str">
        <x:v>Population</x:v>
      </x:c>
      <x:c r="H4" s="52" t="str">
        <x:v>Finding</x:v>
      </x:c>
      <x:c r="I4" s="52" t="str">
        <x:v>Direction / Effect</x:v>
      </x:c>
      <x:c r="J4" s="52" t="str">
        <x:v>Limitations</x:v>
      </x:c>
      <x:c r="K4" s="52" t="str">
        <x:v>Evidence Strength</x:v>
      </x:c>
      <x:c r="L4" s="52" t="str">
        <x:v>Source URL</x:v>
      </x:c>
      <x:c r="M4" s="52" t="str">
        <x:v>Verification Note</x:v>
      </x:c>
    </x:row>
    <x:row r="5" ht="68" customHeight="1">
      <x:c r="A5" s="43" t="str">
        <x:v>SRC107</x:v>
      </x:c>
      <x:c r="B5" s="43" t="str">
        <x:v>PSY-001; PSY-008; PSY-010; PSY-011; PSY-012; PSY-016; PSY-017; PSY-026</x:v>
      </x:c>
      <x:c r="C5" s="43" t="str">
        <x:v>Beliefs, Attitudes &amp; Outcome Expectancies; Risk, Threat &amp; Coping Appraisal; Normative &amp; Relational Perceptions; Motivation, Goals &amp; Psychological Needs</x:v>
      </x:c>
      <x:c r="D5" s="43" t="str">
        <x:v>Sheeran et al. (2016) — The impact of changing attitudes, norms, and self-efficacy on health-related intentions and behavior</x:v>
      </x:c>
      <x:c r="E5" s="43" t="n">
        <x:v>2016</x:v>
      </x:c>
      <x:c r="F5" s="43" t="str">
        <x:v>Meta-analysis of experimental tests</x:v>
      </x:c>
      <x:c r="G5" s="43" t="str">
        <x:v>Populations represented in the included literature; domains, countries, ages, and sampling frames vary by source.</x:v>
      </x:c>
      <x:c r="H5" s="43" t="str">
        <x:v>Across 204 experimental tests, manipulating these cognitions changed intentions and behavior, with effects varying by construct and context.</x:v>
      </x:c>
      <x:c r="I5" s="43" t="str">
        <x:v>Construct- and relationship-specific; see the finding, limitations, and linked Relationships records.</x:v>
      </x:c>
      <x:c r="J5" s="43" t="str">
        <x:v>Health-behavior emphasis; manipulation strength, follow-up, and intervention context vary.</x:v>
      </x:c>
      <x:c r="K5" s="43" t="str">
        <x:v>Strong</x:v>
      </x:c>
      <x:c r="L5" s="43" t="str">
        <x:v>https://pubmed.ncbi.nlm.nih.gov/27280365/</x:v>
      </x:c>
      <x:c r="M5" s="43" t="str">
        <x:v>Bibliographic metadata and persistent URL were normalized during the 2026-08-25 Layer 2 reconstruction. This is a representative evidence record, not a new formal systematic-review extraction.</x:v>
      </x:c>
    </x:row>
    <x:row r="6" ht="68" customHeight="1">
      <x:c r="A6" s="43" t="str">
        <x:v>SRC108</x:v>
      </x:c>
      <x:c r="B6" s="43" t="str">
        <x:v>PSY-006; PSY-019; PSY-020; PSY-032; PSY-033; PSY-034; PSY-035; PSY-036; PSY-037; PSY-112</x:v>
      </x:c>
      <x:c r="C6" s="43" t="str">
        <x:v>Beliefs, Attitudes &amp; Outcome Expectancies; Normative &amp; Relational Perceptions; Motivation, Goals &amp; Psychological Needs; Agency, Attribution &amp; Moral Judgment</x:v>
      </x:c>
      <x:c r="D6" s="43" t="str">
        <x:v>Ryan &amp; Deci (2000) — Self-determination theory and the facilitation of intrinsic motivation, social development, and well-being</x:v>
      </x:c>
      <x:c r="E6" s="43" t="n">
        <x:v>2000</x:v>
      </x:c>
      <x:c r="F6" s="43" t="str">
        <x:v>Foundational integrative review</x:v>
      </x:c>
      <x:c r="G6" s="43" t="str">
        <x:v>Populations represented in the included literature; domains, countries, ages, and sampling frames vary by source.</x:v>
      </x:c>
      <x:c r="H6" s="43" t="str">
        <x:v>Differentiates intrinsic, autonomous, and controlled motivation and specifies autonomy, competence, and relatedness as basic psychological needs.</x:v>
      </x:c>
      <x:c r="I6" s="43" t="str">
        <x:v>Construct- and relationship-specific; see the finding, limitations, and linked Relationships records.</x:v>
      </x:c>
      <x:c r="J6" s="43" t="str">
        <x:v>Review and theory integration rather than a single causal estimate; constructs require context-sensitive measurement.</x:v>
      </x:c>
      <x:c r="K6" s="43" t="str">
        <x:v>Strong</x:v>
      </x:c>
      <x:c r="L6" s="43" t="str">
        <x:v>https://selfdeterminationtheory.org/SDT/documents/2000_RyanDeci_SDT.pdf</x:v>
      </x:c>
      <x:c r="M6" s="43" t="str">
        <x:v>Bibliographic metadata and persistent URL were normalized during the 2026-08-25 Layer 2 reconstruction. This is a representative evidence record, not a new formal systematic-review extraction.</x:v>
      </x:c>
    </x:row>
    <x:row r="7" ht="68" customHeight="1">
      <x:c r="A7" s="43" t="str">
        <x:v>SRC109</x:v>
      </x:c>
      <x:c r="B7" s="43" t="str">
        <x:v>PSY-015; PSY-021; PSY-025; PSY-030; PSY-055; PSY-063; PSY-064; PSY-065; PSY-073; PSY-074; PSY-077</x:v>
      </x:c>
      <x:c r="C7" s="43" t="str">
        <x:v>Risk, Threat &amp; Coping Appraisal; Normative &amp; Relational Perceptions; Motivation, Goals &amp; Psychological Needs; Attention &amp; Cognitive Processing; Knowledge, Memory &amp; Mental Representation; Learning, Habit &amp; Automaticity; Planning, Self-Regulation &amp; Executive Control</x:v>
      </x:c>
      <x:c r="D7" s="43" t="str">
        <x:v>Cane et al. (2012) — Validation of the Theoretical Domains Framework for behavior-change research</x:v>
      </x:c>
      <x:c r="E7" s="43" t="n">
        <x:v>2012</x:v>
      </x:c>
      <x:c r="F7" s="43" t="str">
        <x:v>Consensus and validation study</x:v>
      </x:c>
      <x:c r="G7" s="43" t="str">
        <x:v>Primarily human participant samples in the cited research; consult the source for exact population and sampling details.</x:v>
      </x:c>
      <x:c r="H7" s="43" t="str">
        <x:v>Organizes determinants including beliefs, goals, reinforcement, emotion, attention/decision processes, and behavioral regulation.</x:v>
      </x:c>
      <x:c r="I7" s="43" t="str">
        <x:v>Construct- and relationship-specific; see the finding, limitations, and linked Relationships records.</x:v>
      </x:c>
      <x:c r="J7" s="43" t="str">
        <x:v>Framework breadth does not establish that every domain is causal in every case.</x:v>
      </x:c>
      <x:c r="K7" s="43" t="str">
        <x:v>Moderate</x:v>
      </x:c>
      <x:c r="L7" s="43" t="str">
        <x:v>https://implementationscience.biomedcentral.com/articles/10.1186/1748-5908-7-37</x:v>
      </x:c>
      <x:c r="M7" s="43" t="str">
        <x:v>Bibliographic metadata and persistent URL were normalized during the 2026-08-25 Layer 2 reconstruction. This is a representative evidence record, not a new formal systematic-review extraction.</x:v>
      </x:c>
    </x:row>
    <x:row r="8" ht="68" customHeight="1">
      <x:c r="A8" s="43" t="str">
        <x:v>SRC110</x:v>
      </x:c>
      <x:c r="B8" s="43" t="str">
        <x:v>PSY-001; PSY-004; PSY-005; PSY-012; PSY-017; PSY-026</x:v>
      </x:c>
      <x:c r="C8" s="43" t="str">
        <x:v>Beliefs, Attitudes &amp; Outcome Expectancies; Risk, Threat &amp; Coping Appraisal; Normative &amp; Relational Perceptions; Motivation, Goals &amp; Psychological Needs</x:v>
      </x:c>
      <x:c r="D8" s="43" t="str">
        <x:v>Ajzen (1991) — The theory of planned behavior</x:v>
      </x:c>
      <x:c r="E8" s="43" t="n">
        <x:v>1991</x:v>
      </x:c>
      <x:c r="F8" s="43" t="str">
        <x:v>Foundational review and theory synthesis</x:v>
      </x:c>
      <x:c r="G8" s="43" t="str">
        <x:v>Populations represented in the included literature; domains, countries, ages, and sampling frames vary by source.</x:v>
      </x:c>
      <x:c r="H8" s="43" t="str">
        <x:v>Specifies behavior-specific attitudes, subjective norms, perceived behavioral control, and intentions as distinct predictors of behavior.</x:v>
      </x:c>
      <x:c r="I8" s="43" t="str">
        <x:v>Construct- and relationship-specific; see the finding, limitations, and linked Relationships records.</x:v>
      </x:c>
      <x:c r="J8" s="43" t="str">
        <x:v>Prospective prediction and causal manipulation evidence vary by domain; intention does not ensure action.</x:v>
      </x:c>
      <x:c r="K8" s="43" t="str">
        <x:v>Strong</x:v>
      </x:c>
      <x:c r="L8" s="43" t="str">
        <x:v>https://people.umass.edu/aizen/pubs/tpb.1991.pdf</x:v>
      </x:c>
      <x:c r="M8" s="43" t="str">
        <x:v>Bibliographic metadata and persistent URL were normalized during the 2026-08-25 Layer 2 reconstruction. This is a representative evidence record, not a new formal systematic-review extraction.</x:v>
      </x:c>
    </x:row>
    <x:row r="9" ht="68" customHeight="1">
      <x:c r="A9" s="43" t="str">
        <x:v>SRC111</x:v>
      </x:c>
      <x:c r="B9" s="43" t="str">
        <x:v>PSY-004; PSY-006; PSY-011; PSY-014; PSY-029; PSY-073; PSY-074; PSY-104; PSY-127</x:v>
      </x:c>
      <x:c r="C9" s="43" t="str">
        <x:v>Beliefs, Attitudes &amp; Outcome Expectancies; Risk, Threat &amp; Coping Appraisal; Motivation, Goals &amp; Psychological Needs; Learning, Habit &amp; Automaticity; Agency, Attribution &amp; Moral Judgment; Stable Dispositions &amp; Temperament</x:v>
      </x:c>
      <x:c r="D9" s="43" t="str">
        <x:v>Bandura (1977) — Self-efficacy: toward a unifying theory of behavioral change</x:v>
      </x:c>
      <x:c r="E9" s="43" t="n">
        <x:v>1977</x:v>
      </x:c>
      <x:c r="F9" s="43" t="str">
        <x:v>Foundational theoretical and empirical synthesis</x:v>
      </x:c>
      <x:c r="G9" s="43" t="str">
        <x:v>Primarily human participant samples in the cited research; consult the source for exact population and sampling details.</x:v>
      </x:c>
      <x:c r="H9" s="43" t="str">
        <x:v>Self-efficacy is distinguished from outcome expectancy and linked to choice, effort, persistence, and behavior change.</x:v>
      </x:c>
      <x:c r="I9" s="43" t="str">
        <x:v>Construct- and relationship-specific; see the finding, limitations, and linked Relationships records.</x:v>
      </x:c>
      <x:c r="J9" s="43" t="str">
        <x:v>Foundational evidence predates later measurement refinements; efficacy must be behavior- and context-specific.</x:v>
      </x:c>
      <x:c r="K9" s="43" t="str">
        <x:v>Strong</x:v>
      </x:c>
      <x:c r="L9" s="43" t="str">
        <x:v>https://pubmed.ncbi.nlm.nih.gov/847061/</x:v>
      </x:c>
      <x:c r="M9" s="43" t="str">
        <x:v>Bibliographic metadata and persistent URL were normalized during the 2026-08-25 Layer 2 reconstruction. This is a representative evidence record, not a new formal systematic-review extraction.</x:v>
      </x:c>
    </x:row>
    <x:row r="10" ht="68" customHeight="1">
      <x:c r="A10" s="43" t="str">
        <x:v>SRC112</x:v>
      </x:c>
      <x:c r="B10" s="43" t="str">
        <x:v>PSY-011</x:v>
      </x:c>
      <x:c r="C10" s="43" t="str">
        <x:v>Risk, Threat &amp; Coping Appraisal</x:v>
      </x:c>
      <x:c r="D10" s="43" t="str">
        <x:v>Williams &amp; Rhodes (2016) — The confounded self-efficacy construct</x:v>
      </x:c>
      <x:c r="E10" s="43" t="n">
        <x:v>2016</x:v>
      </x:c>
      <x:c r="F10" s="43" t="str">
        <x:v>Construct and measurement review</x:v>
      </x:c>
      <x:c r="G10" s="43" t="str">
        <x:v>Populations represented in the included literature; domains, countries, ages, and sampling frames vary by source.</x:v>
      </x:c>
      <x:c r="H10" s="43" t="str">
        <x:v>Shows how self-efficacy measures can be contaminated by motivation, expected outcomes, and behavioral intention.</x:v>
      </x:c>
      <x:c r="I10" s="43" t="str">
        <x:v>Construct- and relationship-specific; see the finding, limitations, and linked Relationships records.</x:v>
      </x:c>
      <x:c r="J10" s="43" t="str">
        <x:v>Primarily a construct-validity critique rather than an effect-size synthesis.</x:v>
      </x:c>
      <x:c r="K10" s="43" t="str">
        <x:v>Moderate</x:v>
      </x:c>
      <x:c r="L10" s="43" t="str">
        <x:v>https://pubmed.ncbi.nlm.nih.gov/25117692/</x:v>
      </x:c>
      <x:c r="M10" s="43" t="str">
        <x:v>Bibliographic metadata and persistent URL were normalized during the 2026-08-25 Layer 2 reconstruction. This is a representative evidence record, not a new formal systematic-review extraction.</x:v>
      </x:c>
    </x:row>
    <x:row r="11" ht="68" customHeight="1">
      <x:c r="A11" s="43" t="str">
        <x:v>SRC113</x:v>
      </x:c>
      <x:c r="B11" s="43" t="str">
        <x:v>PSY-005; PSY-060; PSY-084; PSY-085; PSY-086; PSY-087; PSY-093</x:v>
      </x:c>
      <x:c r="C11" s="43" t="str">
        <x:v>Beliefs, Attitudes &amp; Outcome Expectancies; Attention &amp; Cognitive Processing; Decision Valuation Across Risk, Time &amp; Effort</x:v>
      </x:c>
      <x:c r="D11" s="43" t="str">
        <x:v>Kahneman &amp; Tversky (1979) — Prospect theory: an analysis of decision under risk</x:v>
      </x:c>
      <x:c r="E11" s="43" t="n">
        <x:v>1979</x:v>
      </x:c>
      <x:c r="F11" s="43" t="str">
        <x:v>Seminal theoretical and experimental article</x:v>
      </x:c>
      <x:c r="G11" s="43" t="str">
        <x:v>Primarily human participant samples in the cited research; consult the source for exact population and sampling details.</x:v>
      </x:c>
      <x:c r="H11" s="43" t="str">
        <x:v>Introduces reference dependence, loss-sensitive valuation, nonlinear probability weighting, and context-dependent risk preference.</x:v>
      </x:c>
      <x:c r="I11" s="43" t="str">
        <x:v>Construct- and relationship-specific; see the finding, limitations, and linked Relationships records.</x:v>
      </x:c>
      <x:c r="J11" s="43" t="str">
        <x:v>Parameter values and even qualitative patterns vary by task, domain, stakes, and model specification.</x:v>
      </x:c>
      <x:c r="K11" s="43" t="str">
        <x:v>Strong</x:v>
      </x:c>
      <x:c r="L11" s="43" t="str">
        <x:v>https://doi.org/10.2307/1914185</x:v>
      </x:c>
      <x:c r="M11" s="43" t="str">
        <x:v>Bibliographic metadata and persistent URL were normalized during the 2026-08-25 Layer 2 reconstruction. This is a representative evidence record, not a new formal systematic-review extraction.</x:v>
      </x:c>
    </x:row>
    <x:row r="12" ht="68" customHeight="1">
      <x:c r="A12" s="43" t="str">
        <x:v>SRC114</x:v>
      </x:c>
      <x:c r="B12" s="43" t="str">
        <x:v>PSY-075; PSY-076</x:v>
      </x:c>
      <x:c r="C12" s="43" t="str">
        <x:v>Planning, Self-Regulation &amp; Executive Control</x:v>
      </x:c>
      <x:c r="D12" s="43" t="str">
        <x:v>Sheeran, Webb &amp; Gollwitzer (2005) — The interplay between goal intentions and implementation intentions</x:v>
      </x:c>
      <x:c r="E12" s="43" t="n">
        <x:v>2005</x:v>
      </x:c>
      <x:c r="F12" s="43" t="str">
        <x:v>Experimental research synthesis</x:v>
      </x:c>
      <x:c r="G12" s="43" t="str">
        <x:v>Primarily human participant samples in the cited research; consult the source for exact population and sampling details.</x:v>
      </x:c>
      <x:c r="H12" s="43" t="str">
        <x:v>If–then plans improve goal attainment when an underlying goal is active and accessible.</x:v>
      </x:c>
      <x:c r="I12" s="43" t="str">
        <x:v>Construct- and relationship-specific; see the finding, limitations, and linked Relationships records.</x:v>
      </x:c>
      <x:c r="J12" s="43" t="str">
        <x:v>Effects depend on goal activation, plan quality, feasibility, and cue occurrence.</x:v>
      </x:c>
      <x:c r="K12" s="43" t="str">
        <x:v>Strong</x:v>
      </x:c>
      <x:c r="L12" s="43" t="str">
        <x:v>https://pubmed.ncbi.nlm.nih.gov/15574664/</x:v>
      </x:c>
      <x:c r="M12" s="43" t="str">
        <x:v>Bibliographic metadata and persistent URL were normalized during the 2026-08-25 Layer 2 reconstruction. This is a representative evidence record, not a new formal systematic-review extraction.</x:v>
      </x:c>
    </x:row>
    <x:row r="13" ht="68" customHeight="1">
      <x:c r="A13" s="43" t="str">
        <x:v>SRC115</x:v>
      </x:c>
      <x:c r="B13" s="43" t="str">
        <x:v>PSY-038; PSY-041; PSY-042; PSY-043; PSY-044; PSY-045; PSY-046; PSY-047; PSY-049; PSY-050; PSY-051; PSY-092</x:v>
      </x:c>
      <x:c r="C13" s="43" t="str">
        <x:v>Motivation, Goals &amp; Psychological Needs; Affect &amp; Emotion; Decision Valuation Across Risk, Time &amp; Effort</x:v>
      </x:c>
      <x:c r="D13" s="43" t="str">
        <x:v>Lerner et al. (2015) — Emotion and decision making</x:v>
      </x:c>
      <x:c r="E13" s="43" t="n">
        <x:v>2015</x:v>
      </x:c>
      <x:c r="F13" s="43" t="str">
        <x:v>Authoritative review</x:v>
      </x:c>
      <x:c r="G13" s="43" t="str">
        <x:v>Populations represented in the included literature; domains, countries, ages, and sampling frames vary by source.</x:v>
      </x:c>
      <x:c r="H13" s="43" t="str">
        <x:v>Discrete emotions alter attention, appraisal tendencies, risk judgment, and choice in differentiable, context-dependent ways.</x:v>
      </x:c>
      <x:c r="I13" s="43" t="str">
        <x:v>Construct- and relationship-specific; see the finding, limitations, and linked Relationships records.</x:v>
      </x:c>
      <x:c r="J13" s="43" t="str">
        <x:v>Many paradigms are laboratory based; induced emotion, naturally occurring emotion, and behavior can differ.</x:v>
      </x:c>
      <x:c r="K13" s="43" t="str">
        <x:v>Strong</x:v>
      </x:c>
      <x:c r="L13" s="43" t="str">
        <x:v>https://pubmed.ncbi.nlm.nih.gov/25251484/</x:v>
      </x:c>
      <x:c r="M13" s="43" t="str">
        <x:v>Bibliographic metadata and persistent URL were normalized during the 2026-08-25 Layer 2 reconstruction. This is a representative evidence record, not a new formal systematic-review extraction.</x:v>
      </x:c>
    </x:row>
    <x:row r="14" ht="68" customHeight="1">
      <x:c r="A14" s="43" t="str">
        <x:v>SRC116</x:v>
      </x:c>
      <x:c r="B14" s="43" t="str">
        <x:v>PSY-070; PSY-071; PSY-072</x:v>
      </x:c>
      <x:c r="C14" s="43" t="str">
        <x:v>Learning, Habit &amp; Automaticity</x:v>
      </x:c>
      <x:c r="D14" s="43" t="str">
        <x:v>Wood &amp; Rünger (2016) — Psychology of habit</x:v>
      </x:c>
      <x:c r="E14" s="43" t="n">
        <x:v>2016</x:v>
      </x:c>
      <x:c r="F14" s="43" t="str">
        <x:v>Authoritative review</x:v>
      </x:c>
      <x:c r="G14" s="43" t="str">
        <x:v>Populations represented in the included literature; domains, countries, ages, and sampling frames vary by source.</x:v>
      </x:c>
      <x:c r="H14" s="43" t="str">
        <x:v>Stable cues, repetition, and learned associations support automatic behavioral responding that can compete with current goals.</x:v>
      </x:c>
      <x:c r="I14" s="43" t="str">
        <x:v>Construct- and relationship-specific; see the finding, limitations, and linked Relationships records.</x:v>
      </x:c>
      <x:c r="J14" s="43" t="str">
        <x:v>Habit, frequency, automaticity, and context stability are measured inconsistently across studies.</x:v>
      </x:c>
      <x:c r="K14" s="43" t="str">
        <x:v>Strong</x:v>
      </x:c>
      <x:c r="L14" s="43" t="str">
        <x:v>https://pubmed.ncbi.nlm.nih.gov/26361052/</x:v>
      </x:c>
      <x:c r="M14" s="43" t="str">
        <x:v>Bibliographic metadata and persistent URL were normalized during the 2026-08-25 Layer 2 reconstruction. This is a representative evidence record, not a new formal systematic-review extraction.</x:v>
      </x:c>
    </x:row>
    <x:row r="15" ht="68" customHeight="1">
      <x:c r="A15" s="43" t="str">
        <x:v>SRC117</x:v>
      </x:c>
      <x:c r="B15" s="43" t="str">
        <x:v>PSY-002; PSY-007; PSY-059; PSY-069; PSY-113; PSY-114; PSY-115; PSY-129</x:v>
      </x:c>
      <x:c r="C15" s="43" t="str">
        <x:v>Beliefs, Attitudes &amp; Outcome Expectancies; Attention &amp; Cognitive Processing; Knowledge, Memory &amp; Mental Representation; Epistemic Trust &amp; Persuasion; Stable Dispositions &amp; Temperament</x:v>
      </x:c>
      <x:c r="D15" s="43" t="str">
        <x:v>Petty &amp; Wegener (1999) — The elaboration likelihood model: current status and controversies</x:v>
      </x:c>
      <x:c r="E15" s="43" t="n">
        <x:v>1999</x:v>
      </x:c>
      <x:c r="F15" s="43" t="str">
        <x:v>Authoritative theory review</x:v>
      </x:c>
      <x:c r="G15" s="43" t="str">
        <x:v>Populations represented in the included literature; domains, countries, ages, and sampling frames vary by source.</x:v>
      </x:c>
      <x:c r="H15" s="43" t="str">
        <x:v>Motivation and ability regulate elaboration; argument responses, source cues, and confidence influence attitude change under differing conditions.</x:v>
      </x:c>
      <x:c r="I15" s="43" t="str">
        <x:v>Construct- and relationship-specific; see the finding, limitations, and linked Relationships records.</x:v>
      </x:c>
      <x:c r="J15" s="43" t="str">
        <x:v>Specific persuasion effects depend heavily on involvement, prior belief, message, source, and measurement timing.</x:v>
      </x:c>
      <x:c r="K15" s="43" t="str">
        <x:v>Strong</x:v>
      </x:c>
      <x:c r="L15" s="43" t="str">
        <x:v>https://www.sciencedirect.com/science/article/pii/S0022440597000034</x:v>
      </x:c>
      <x:c r="M15" s="43" t="str">
        <x:v>Bibliographic metadata and persistent URL were normalized during the 2026-08-25 Layer 2 reconstruction. This is a representative evidence record, not a new formal systematic-review extraction.</x:v>
      </x:c>
    </x:row>
    <x:row r="16" ht="68" customHeight="1">
      <x:c r="A16" s="43" t="str">
        <x:v>SRC118</x:v>
      </x:c>
      <x:c r="B16" s="43" t="str">
        <x:v>PSY-006; PSY-027; PSY-028; PSY-029; PSY-030; PSY-031; PSY-048; PSY-052; PSY-078; PSY-091</x:v>
      </x:c>
      <x:c r="C16" s="43" t="str">
        <x:v>Beliefs, Attitudes &amp; Outcome Expectancies; Motivation, Goals &amp; Psychological Needs; Affect &amp; Emotion; Planning, Self-Regulation &amp; Executive Control; Decision Valuation Across Risk, Time &amp; Effort</x:v>
      </x:c>
      <x:c r="D16" s="43" t="str">
        <x:v>Locke &amp; Latham (2002) — Building a practically useful theory of goal setting and task motivation</x:v>
      </x:c>
      <x:c r="E16" s="43" t="n">
        <x:v>2002</x:v>
      </x:c>
      <x:c r="F16" s="43" t="str">
        <x:v>Authoritative review</x:v>
      </x:c>
      <x:c r="G16" s="43" t="str">
        <x:v>Populations represented in the included literature; domains, countries, ages, and sampling frames vary by source.</x:v>
      </x:c>
      <x:c r="H16" s="43" t="str">
        <x:v>Goal specificity, difficulty, commitment, feedback, and task conditions jointly shape effort and performance.</x:v>
      </x:c>
      <x:c r="I16" s="43" t="str">
        <x:v>Construct- and relationship-specific; see the finding, limitations, and linked Relationships records.</x:v>
      </x:c>
      <x:c r="J16" s="43" t="str">
        <x:v>Effects differ by task complexity, learning demands, capability, commitment, and feedback.</x:v>
      </x:c>
      <x:c r="K16" s="43" t="str">
        <x:v>Strong</x:v>
      </x:c>
      <x:c r="L16" s="43" t="str">
        <x:v>https://doi.org/10.1037/0003-066X.57.9.705</x:v>
      </x:c>
      <x:c r="M16" s="43" t="str">
        <x:v>Bibliographic metadata and persistent URL were normalized during the 2026-08-25 Layer 2 reconstruction. This is a representative evidence record, not a new formal systematic-review extraction.</x:v>
      </x:c>
    </x:row>
    <x:row r="17" ht="68" customHeight="1">
      <x:c r="A17" s="43" t="str">
        <x:v>SRC119</x:v>
      </x:c>
      <x:c r="B17" s="43" t="str">
        <x:v>PSY-119; PSY-130</x:v>
      </x:c>
      <x:c r="C17" s="43" t="str">
        <x:v>Epistemic Trust &amp; Persuasion; Stable Dispositions &amp; Temperament</x:v>
      </x:c>
      <x:c r="D17" s="43" t="str">
        <x:v>Webster &amp; Kruglanski (1997) — Cognitive and social consequences of the need for cognitive closure</x:v>
      </x:c>
      <x:c r="E17" s="43" t="n">
        <x:v>1997</x:v>
      </x:c>
      <x:c r="F17" s="43" t="str">
        <x:v>Programmatic theory and research review</x:v>
      </x:c>
      <x:c r="G17" s="43" t="str">
        <x:v>Populations represented in the included literature; domains, countries, ages, and sampling frames vary by source.</x:v>
      </x:c>
      <x:c r="H17" s="43" t="str">
        <x:v>Need for closure promotes urgency in reaching judgments and permanence in preserving them.</x:v>
      </x:c>
      <x:c r="I17" s="43" t="str">
        <x:v>Construct- and relationship-specific; see the finding, limitations, and linked Relationships records.</x:v>
      </x:c>
      <x:c r="J17" s="43" t="str">
        <x:v>Trait and induced closure should be distinguished; effects vary with accountability and information environment.</x:v>
      </x:c>
      <x:c r="K17" s="43" t="str">
        <x:v>Strong</x:v>
      </x:c>
      <x:c r="L17" s="43" t="str">
        <x:v>https://doi.org/10.1080/14792779643000100</x:v>
      </x:c>
      <x:c r="M17" s="43" t="str">
        <x:v>Bibliographic metadata and persistent URL were normalized during the 2026-08-25 Layer 2 reconstruction. This is a representative evidence record, not a new formal systematic-review extraction.</x:v>
      </x:c>
    </x:row>
    <x:row r="18" ht="68" customHeight="1">
      <x:c r="A18" s="43" t="str">
        <x:v>SRC120</x:v>
      </x:c>
      <x:c r="B18" s="43" t="str">
        <x:v>PSY-072; PSY-075</x:v>
      </x:c>
      <x:c r="C18" s="43" t="str">
        <x:v>Learning, Habit &amp; Automaticity; Planning, Self-Regulation &amp; Executive Control</x:v>
      </x:c>
      <x:c r="D18" s="43" t="str">
        <x:v>Webb, Sheeran &amp; Luszczynska (2007) — Planning to break unwanted habits</x:v>
      </x:c>
      <x:c r="E18" s="43" t="n">
        <x:v>2007</x:v>
      </x:c>
      <x:c r="F18" s="43" t="str">
        <x:v>Experimental mediation study</x:v>
      </x:c>
      <x:c r="G18" s="43" t="str">
        <x:v>Primarily human participant samples in the cited research; consult the source for exact population and sampling details.</x:v>
      </x:c>
      <x:c r="H18" s="43" t="str">
        <x:v>Cue accessibility and cue–response links help explain how implementation intentions influence action.</x:v>
      </x:c>
      <x:c r="I18" s="43" t="str">
        <x:v>Construct- and relationship-specific; see the finding, limitations, and linked Relationships records.</x:v>
      </x:c>
      <x:c r="J18" s="43" t="str">
        <x:v>Mechanistic evidence is task-specific and does not imply all plans operate automatically.</x:v>
      </x:c>
      <x:c r="K18" s="43" t="str">
        <x:v>Moderate</x:v>
      </x:c>
      <x:c r="L18" s="43" t="str">
        <x:v>https://pubmed.ncbi.nlm.nih.gov/18096108/</x:v>
      </x:c>
      <x:c r="M18" s="43" t="str">
        <x:v>Bibliographic metadata and persistent URL were normalized during the 2026-08-25 Layer 2 reconstruction. This is a representative evidence record, not a new formal systematic-review extraction.</x:v>
      </x:c>
    </x:row>
    <x:row r="19" ht="68" customHeight="1">
      <x:c r="A19" s="43" t="str">
        <x:v>SRC121</x:v>
      </x:c>
      <x:c r="B19" s="43" t="str">
        <x:v>PSY-014; PSY-054; PSY-079; PSY-083</x:v>
      </x:c>
      <x:c r="C19" s="43" t="str">
        <x:v>Risk, Threat &amp; Coping Appraisal; Affect &amp; Emotion; Planning, Self-Regulation &amp; Executive Control</x:v>
      </x:c>
      <x:c r="D19" s="43" t="str">
        <x:v>Gross (2015) — Emotion regulation: current status and future prospects</x:v>
      </x:c>
      <x:c r="E19" s="43" t="n">
        <x:v>2015</x:v>
      </x:c>
      <x:c r="F19" s="43" t="str">
        <x:v>Authoritative review</x:v>
      </x:c>
      <x:c r="G19" s="43" t="str">
        <x:v>Populations represented in the included literature; domains, countries, ages, and sampling frames vary by source.</x:v>
      </x:c>
      <x:c r="H19" s="43" t="str">
        <x:v>Emotion regulation involves distinct strategies and stages that alter emotion dynamics and downstream behavior.</x:v>
      </x:c>
      <x:c r="I19" s="43" t="str">
        <x:v>Construct- and relationship-specific; see the finding, limitations, and linked Relationships records.</x:v>
      </x:c>
      <x:c r="J19" s="43" t="str">
        <x:v>Strategy effectiveness depends on person, goal, timing, intensity, and context; no strategy is universally adaptive.</x:v>
      </x:c>
      <x:c r="K19" s="43" t="str">
        <x:v>Strong</x:v>
      </x:c>
      <x:c r="L19" s="43" t="str">
        <x:v>https://doi.org/10.1080/1047840X.2014.940781</x:v>
      </x:c>
      <x:c r="M19" s="43" t="str">
        <x:v>Bibliographic metadata and persistent URL were normalized during the 2026-08-25 Layer 2 reconstruction. This is a representative evidence record, not a new formal systematic-review extraction.</x:v>
      </x:c>
    </x:row>
    <x:row r="20" ht="68" customHeight="1">
      <x:c r="A20" s="43" t="str">
        <x:v>SRC122</x:v>
      </x:c>
      <x:c r="B20" s="43" t="str">
        <x:v>PSY-013; PSY-015</x:v>
      </x:c>
      <x:c r="C20" s="43" t="str">
        <x:v>Risk, Threat &amp; Coping Appraisal</x:v>
      </x:c>
      <x:c r="D20" s="43" t="str">
        <x:v>Michie, van Stralen &amp; West (2011) — The Behaviour Change Wheel: a method for characterising and designing behaviour change interventions</x:v>
      </x:c>
      <x:c r="E20" s="43" t="n">
        <x:v>2011</x:v>
      </x:c>
      <x:c r="F20" s="43" t="str">
        <x:v>Framework-development and consensus study</x:v>
      </x:c>
      <x:c r="G20" s="43" t="str">
        <x:v>Primarily human participant samples in the cited research; consult the source for exact population and sampling details.</x:v>
      </x:c>
      <x:c r="H20" s="43" t="str">
        <x:v>Capability, opportunity, and motivation interact as conditions for behavior and provide a disciplined boundary around psychological determinants.</x:v>
      </x:c>
      <x:c r="I20" s="43" t="str">
        <x:v>Construct- and relationship-specific; see the finding, limitations, and linked Relationships records.</x:v>
      </x:c>
      <x:c r="J20" s="43" t="str">
        <x:v>Framework synthesis does not supply construct-specific causal estimates.</x:v>
      </x:c>
      <x:c r="K20" s="43" t="str">
        <x:v>Moderate</x:v>
      </x:c>
      <x:c r="L20" s="43" t="str">
        <x:v>https://pmc.ncbi.nlm.nih.gov/articles/PMC3096582/</x:v>
      </x:c>
      <x:c r="M20" s="43" t="str">
        <x:v>Bibliographic metadata and persistent URL were normalized during the 2026-08-25 Layer 2 reconstruction. This is a representative evidence record, not a new formal systematic-review extraction.</x:v>
      </x:c>
    </x:row>
    <x:row r="21" ht="68" customHeight="1">
      <x:c r="A21" s="43" t="str">
        <x:v>SRC123</x:v>
      </x:c>
      <x:c r="B21" s="43" t="str">
        <x:v>PSY-088; PSY-130; PSY-131</x:v>
      </x:c>
      <x:c r="C21" s="43" t="str">
        <x:v>Decision Valuation Across Risk, Time &amp; Effort; Stable Dispositions &amp; Temperament</x:v>
      </x:c>
      <x:c r="D21" s="43" t="str">
        <x:v>Dugas, Koerner &amp; Freeston (2026) — Intolerance of uncertainty: state of the science</x:v>
      </x:c>
      <x:c r="E21" s="43" t="n">
        <x:v>2026</x:v>
      </x:c>
      <x:c r="F21" s="43" t="str">
        <x:v>State-of-science review</x:v>
      </x:c>
      <x:c r="G21" s="43" t="str">
        <x:v>Populations represented in the included literature; domains, countries, ages, and sampling frames vary by source.</x:v>
      </x:c>
      <x:c r="H21" s="43" t="str">
        <x:v>Synthesizes how intolerance of uncertainty relates to worry, avoidance, and attempts to reduce uncertainty.</x:v>
      </x:c>
      <x:c r="I21" s="43" t="str">
        <x:v>Construct- and relationship-specific; see the finding, limitations, and linked Relationships records.</x:v>
      </x:c>
      <x:c r="J21" s="43" t="str">
        <x:v>Clinical literatures dominate; construct overlap and cross-cultural transfer require continued review.</x:v>
      </x:c>
      <x:c r="K21" s="43" t="str">
        <x:v>Moderate</x:v>
      </x:c>
      <x:c r="L21" s="43" t="str">
        <x:v>https://pubmed.ncbi.nlm.nih.gov/41620241/</x:v>
      </x:c>
      <x:c r="M21" s="43" t="str">
        <x:v>Bibliographic metadata and persistent URL were normalized during the 2026-08-25 Layer 2 reconstruction. This is a representative evidence record, not a new formal systematic-review extraction.</x:v>
      </x:c>
    </x:row>
    <x:row r="22" ht="68" customHeight="1">
      <x:c r="A22" s="43" t="str">
        <x:v>SRC124</x:v>
      </x:c>
      <x:c r="B22" s="43" t="str">
        <x:v>PSY-008; PSY-009; PSY-010; PSY-013; PSY-039; PSY-041; PSY-128</x:v>
      </x:c>
      <x:c r="C22" s="43" t="str">
        <x:v>Risk, Threat &amp; Coping Appraisal; Motivation, Goals &amp; Psychological Needs; Affect &amp; Emotion; Stable Dispositions &amp; Temperament</x:v>
      </x:c>
      <x:c r="D22" s="43" t="str">
        <x:v>Rogers (1975) — A protection motivation theory of fear appeals and attitude change</x:v>
      </x:c>
      <x:c r="E22" s="43" t="n">
        <x:v>1975</x:v>
      </x:c>
      <x:c r="F22" s="43" t="str">
        <x:v>Foundational theoretical and experimental article</x:v>
      </x:c>
      <x:c r="G22" s="43" t="str">
        <x:v>Primarily human participant samples in the cited research; consult the source for exact population and sampling details.</x:v>
      </x:c>
      <x:c r="H22" s="43" t="str">
        <x:v>Distinguishes severity, susceptibility, response efficacy, and coping appraisal as contributors to protective motivation.</x:v>
      </x:c>
      <x:c r="I22" s="43" t="str">
        <x:v>Construct- and relationship-specific; see the finding, limitations, and linked Relationships records.</x:v>
      </x:c>
      <x:c r="J22" s="43" t="str">
        <x:v>Early theory; later extensions and meta-analyses show important efficacy and context moderators.</x:v>
      </x:c>
      <x:c r="K22" s="43" t="str">
        <x:v>Strong</x:v>
      </x:c>
      <x:c r="L22" s="43" t="str">
        <x:v>https://doi.org/10.1016/0022-1031(75)90023-9</x:v>
      </x:c>
      <x:c r="M22" s="43" t="str">
        <x:v>Bibliographic metadata and persistent URL were normalized during the 2026-08-25 Layer 2 reconstruction. This is a representative evidence record, not a new formal systematic-review extraction.</x:v>
      </x:c>
    </x:row>
    <x:row r="23" ht="68" customHeight="1">
      <x:c r="A23" s="43" t="str">
        <x:v>SRC125</x:v>
      </x:c>
      <x:c r="B23" s="43" t="str">
        <x:v>PSY-056; PSY-061; PSY-066; PSY-067</x:v>
      </x:c>
      <x:c r="C23" s="43" t="str">
        <x:v>Attention &amp; Cognitive Processing; Knowledge, Memory &amp; Mental Representation</x:v>
      </x:c>
      <x:c r="D23" s="43" t="str">
        <x:v>Alter &amp; Oppenheimer (2009) — Uniting the tribes of fluency to form a metacognitive nation</x:v>
      </x:c>
      <x:c r="E23" s="43" t="n">
        <x:v>2009</x:v>
      </x:c>
      <x:c r="F23" s="43" t="str">
        <x:v>Integrative review</x:v>
      </x:c>
      <x:c r="G23" s="43" t="str">
        <x:v>Populations represented in the included literature; domains, countries, ages, and sampling frames vary by source.</x:v>
      </x:c>
      <x:c r="H23" s="43" t="str">
        <x:v>Perceptual, retrieval, and conceptual ease can function as metacognitive cues affecting familiarity, truth, liking, confidence, and effort.</x:v>
      </x:c>
      <x:c r="I23" s="43" t="str">
        <x:v>Construct- and relationship-specific; see the finding, limitations, and linked Relationships records.</x:v>
      </x:c>
      <x:c r="J23" s="43" t="str">
        <x:v>Fluency effects depend on attribution and task expectations and are not always directionally consistent.</x:v>
      </x:c>
      <x:c r="K23" s="43" t="str">
        <x:v>Strong</x:v>
      </x:c>
      <x:c r="L23" s="43" t="str">
        <x:v>https://pubmed.ncbi.nlm.nih.gov/19638628/</x:v>
      </x:c>
      <x:c r="M23" s="43" t="str">
        <x:v>Bibliographic metadata and persistent URL were normalized during the 2026-08-25 Layer 2 reconstruction. This is a representative evidence record, not a new formal systematic-review extraction.</x:v>
      </x:c>
    </x:row>
    <x:row r="24" ht="68" customHeight="1">
      <x:c r="A24" s="43" t="str">
        <x:v>SRC126</x:v>
      </x:c>
      <x:c r="B24" s="43" t="str">
        <x:v>PSY-089; PSY-090; PSY-125</x:v>
      </x:c>
      <x:c r="C24" s="43" t="str">
        <x:v>Decision Valuation Across Risk, Time &amp; Effort; Stable Dispositions &amp; Temperament</x:v>
      </x:c>
      <x:c r="D24" s="43" t="str">
        <x:v>Frederick, Loewenstein &amp; O'Donoghue (2002) — Time discounting and time preference: a critical review</x:v>
      </x:c>
      <x:c r="E24" s="43" t="n">
        <x:v>2002</x:v>
      </x:c>
      <x:c r="F24" s="43" t="str">
        <x:v>Authoritative review</x:v>
      </x:c>
      <x:c r="G24" s="43" t="str">
        <x:v>Populations represented in the included literature; domains, countries, ages, and sampling frames vary by source.</x:v>
      </x:c>
      <x:c r="H24" s="43" t="str">
        <x:v>Separates multiple sources of intertemporal choice and documents context-sensitive discounting and present-focused preference.</x:v>
      </x:c>
      <x:c r="I24" s="43" t="str">
        <x:v>Construct- and relationship-specific; see the finding, limitations, and linked Relationships records.</x:v>
      </x:c>
      <x:c r="J24" s="43" t="str">
        <x:v>Estimated discount parameters vary with commodity, magnitude, framing, horizon, and elicitation method.</x:v>
      </x:c>
      <x:c r="K24" s="43" t="str">
        <x:v>Strong</x:v>
      </x:c>
      <x:c r="L24" s="43" t="str">
        <x:v>https://doi.org/10.1257/002205102320161311</x:v>
      </x:c>
      <x:c r="M24" s="43" t="str">
        <x:v>Bibliographic metadata and persistent URL were normalized during the 2026-08-25 Layer 2 reconstruction. This is a representative evidence record, not a new formal systematic-review extraction.</x:v>
      </x:c>
    </x:row>
    <x:row r="25" ht="68" customHeight="1">
      <x:c r="A25" s="43" t="str">
        <x:v>SRC127</x:v>
      </x:c>
      <x:c r="B25" s="43" t="str">
        <x:v>PSY-102</x:v>
      </x:c>
      <x:c r="C25" s="43" t="str">
        <x:v>Self-Concept, Identity &amp; Consistency</x:v>
      </x:c>
      <x:c r="D25" s="43" t="str">
        <x:v>Festinger (1957) — A theory of cognitive dissonance</x:v>
      </x:c>
      <x:c r="E25" s="43" t="n">
        <x:v>1957</x:v>
      </x:c>
      <x:c r="F25" s="43" t="str">
        <x:v>Foundational theoretical monograph</x:v>
      </x:c>
      <x:c r="G25" s="43" t="str">
        <x:v>Primarily human participant samples in the cited research; consult the source for exact population and sampling details.</x:v>
      </x:c>
      <x:c r="H25" s="43" t="str">
        <x:v>Inconsistency among cognition and behavior can produce aversive motivation to restore consistency.</x:v>
      </x:c>
      <x:c r="I25" s="43" t="str">
        <x:v>Construct- and relationship-specific; see the finding, limitations, and linked Relationships records.</x:v>
      </x:c>
      <x:c r="J25" s="43" t="str">
        <x:v>Operational definitions and boundary conditions have evolved; dissonance should not be inferred solely from post-choice change.</x:v>
      </x:c>
      <x:c r="K25" s="43" t="str">
        <x:v>Strong</x:v>
      </x:c>
      <x:c r="L25" s="43" t="str">
        <x:v>https://doi.org/10.1037/10318-000</x:v>
      </x:c>
      <x:c r="M25" s="43" t="str">
        <x:v>Bibliographic metadata and persistent URL were normalized during the 2026-08-25 Layer 2 reconstruction. This is a representative evidence record, not a new formal systematic-review extraction.</x:v>
      </x:c>
    </x:row>
    <x:row r="26" ht="68" customHeight="1">
      <x:c r="A26" s="43" t="str">
        <x:v>SRC128</x:v>
      </x:c>
      <x:c r="B26" s="43" t="str">
        <x:v>PSY-108; PSY-109; PSY-117</x:v>
      </x:c>
      <x:c r="C26" s="43" t="str">
        <x:v>Agency, Attribution &amp; Moral Judgment; Epistemic Trust &amp; Persuasion</x:v>
      </x:c>
      <x:c r="D26" s="43" t="str">
        <x:v>Brehm &amp; Brehm (1981) — Psychological reactance: a theory of freedom and control</x:v>
      </x:c>
      <x:c r="E26" s="43" t="n">
        <x:v>1981</x:v>
      </x:c>
      <x:c r="F26" s="43" t="str">
        <x:v>Foundational theoretical monograph</x:v>
      </x:c>
      <x:c r="G26" s="43" t="str">
        <x:v>Primarily human participant samples in the cited research; consult the source for exact population and sampling details.</x:v>
      </x:c>
      <x:c r="H26" s="43" t="str">
        <x:v>Perceived restriction of important freedom can produce motivational pressure to restore that freedom.</x:v>
      </x:c>
      <x:c r="I26" s="43" t="str">
        <x:v>Construct- and relationship-specific; see the finding, limitations, and linked Relationships records.</x:v>
      </x:c>
      <x:c r="J26" s="43" t="str">
        <x:v>State reactance, trait reactance, freedom threat, anger, and negative cognition should not be conflated.</x:v>
      </x:c>
      <x:c r="K26" s="43" t="str">
        <x:v>Strong</x:v>
      </x:c>
      <x:c r="L26" s="43" t="str">
        <x:v>https://doi.org/10.1016/C2013-0-10423-0</x:v>
      </x:c>
      <x:c r="M26" s="43" t="str">
        <x:v>Bibliographic metadata and persistent URL were normalized during the 2026-08-25 Layer 2 reconstruction. This is a representative evidence record, not a new formal systematic-review extraction.</x:v>
      </x:c>
    </x:row>
    <x:row r="27" ht="68" customHeight="1">
      <x:c r="A27" s="43" t="str">
        <x:v>SRC129</x:v>
      </x:c>
      <x:c r="B27" s="43" t="str">
        <x:v>PSY-100</x:v>
      </x:c>
      <x:c r="C27" s="43" t="str">
        <x:v>Self-Concept, Identity &amp; Consistency</x:v>
      </x:c>
      <x:c r="D27" s="43" t="str">
        <x:v>Steele (1988) — The psychology of self-affirmation</x:v>
      </x:c>
      <x:c r="E27" s="43" t="n">
        <x:v>1988</x:v>
      </x:c>
      <x:c r="F27" s="43" t="str">
        <x:v>Foundational review</x:v>
      </x:c>
      <x:c r="G27" s="43" t="str">
        <x:v>Populations represented in the included literature; domains, countries, ages, and sampling frames vary by source.</x:v>
      </x:c>
      <x:c r="H27" s="43" t="str">
        <x:v>Threats to self-integrity can elicit defensive processing, while affirmation of valued domains can reduce defense.</x:v>
      </x:c>
      <x:c r="I27" s="43" t="str">
        <x:v>Construct- and relationship-specific; see the finding, limitations, and linked Relationships records.</x:v>
      </x:c>
      <x:c r="J27" s="43" t="str">
        <x:v>Effects vary by threat, value relevance, timing, and outcome; affirmation is not generic positive thinking.</x:v>
      </x:c>
      <x:c r="K27" s="43" t="str">
        <x:v>Strong</x:v>
      </x:c>
      <x:c r="L27" s="43" t="str">
        <x:v>https://doi.org/10.1016/S0065-2601(08)60229-1</x:v>
      </x:c>
      <x:c r="M27" s="43" t="str">
        <x:v>Bibliographic metadata and persistent URL were normalized during the 2026-08-25 Layer 2 reconstruction. This is a representative evidence record, not a new formal systematic-review extraction.</x:v>
      </x:c>
    </x:row>
    <x:row r="28" ht="68" customHeight="1">
      <x:c r="A28" s="43" t="str">
        <x:v>SRC130</x:v>
      </x:c>
      <x:c r="B28" s="43" t="str">
        <x:v>PSY-094; PSY-103; PSY-111</x:v>
      </x:c>
      <x:c r="C28" s="43" t="str">
        <x:v>Self-Concept, Identity &amp; Consistency; Agency, Attribution &amp; Moral Judgment</x:v>
      </x:c>
      <x:c r="D28" s="43" t="str">
        <x:v>Aquino &amp; Reed (2002) — The self-importance of moral identity</x:v>
      </x:c>
      <x:c r="E28" s="43" t="n">
        <x:v>2002</x:v>
      </x:c>
      <x:c r="F28" s="43" t="str">
        <x:v>Scale-development and validation studies</x:v>
      </x:c>
      <x:c r="G28" s="43" t="str">
        <x:v>Primarily human participant samples in the cited research; consult the source for exact population and sampling details.</x:v>
      </x:c>
      <x:c r="H28" s="43" t="str">
        <x:v>Moral-identity internalization and symbolization are distinguishable and predict selected moral cognitions and behavior.</x:v>
      </x:c>
      <x:c r="I28" s="43" t="str">
        <x:v>Construct- and relationship-specific; see the finding, limitations, and linked Relationships records.</x:v>
      </x:c>
      <x:c r="J28" s="43" t="str">
        <x:v>Self-report and domain-specific behavior; moral identity does not imply uniform moral content or action.</x:v>
      </x:c>
      <x:c r="K28" s="43" t="str">
        <x:v>Strong</x:v>
      </x:c>
      <x:c r="L28" s="43" t="str">
        <x:v>https://doi.org/10.1037/0022-3514.83.6.1423</x:v>
      </x:c>
      <x:c r="M28" s="43" t="str">
        <x:v>Bibliographic metadata and persistent URL were normalized during the 2026-08-25 Layer 2 reconstruction. This is a representative evidence record, not a new formal systematic-review extraction.</x:v>
      </x:c>
    </x:row>
    <x:row r="29" ht="68" customHeight="1">
      <x:c r="A29" s="43" t="str">
        <x:v>SRC131</x:v>
      </x:c>
      <x:c r="B29" s="43" t="str">
        <x:v>PSY-115; PSY-117</x:v>
      </x:c>
      <x:c r="C29" s="43" t="str">
        <x:v>Epistemic Trust &amp; Persuasion</x:v>
      </x:c>
      <x:c r="D29" s="43" t="str">
        <x:v>McGuire (1964) — Inducing resistance to persuasion</x:v>
      </x:c>
      <x:c r="E29" s="43" t="n">
        <x:v>1964</x:v>
      </x:c>
      <x:c r="F29" s="43" t="str">
        <x:v>Foundational experimental article</x:v>
      </x:c>
      <x:c r="G29" s="43" t="str">
        <x:v>Primarily human participant samples in the cited research; consult the source for exact population and sampling details.</x:v>
      </x:c>
      <x:c r="H29" s="43" t="str">
        <x:v>Forewarning and refutational preemption can motivate and equip resistance through counterargument rehearsal.</x:v>
      </x:c>
      <x:c r="I29" s="43" t="str">
        <x:v>Construct- and relationship-specific; see the finding, limitations, and linked Relationships records.</x:v>
      </x:c>
      <x:c r="J29" s="43" t="str">
        <x:v>Early paradigms; effects vary with message strength, prior belief, forewarning type, and delay.</x:v>
      </x:c>
      <x:c r="K29" s="43" t="str">
        <x:v>Moderate</x:v>
      </x:c>
      <x:c r="L29" s="43" t="str">
        <x:v>https://doi.org/10.1111/j.1460-2466.1964.tb00036.x</x:v>
      </x:c>
      <x:c r="M29" s="43" t="str">
        <x:v>Bibliographic metadata and persistent URL were normalized during the 2026-08-25 Layer 2 reconstruction. This is a representative evidence record, not a new formal systematic-review extraction.</x:v>
      </x:c>
    </x:row>
    <x:row r="30" ht="68" customHeight="1">
      <x:c r="A30" s="43" t="str">
        <x:v>SRC132</x:v>
      </x:c>
      <x:c r="B30" s="43" t="str">
        <x:v>PSY-016; PSY-017; PSY-018</x:v>
      </x:c>
      <x:c r="C30" s="43" t="str">
        <x:v>Normative &amp; Relational Perceptions</x:v>
      </x:c>
      <x:c r="D30" s="43" t="str">
        <x:v>Borsari &amp; Carey (2003) — Descriptive and injunctive norms in college drinking: a meta-analytic integration</x:v>
      </x:c>
      <x:c r="E30" s="43" t="n">
        <x:v>2003</x:v>
      </x:c>
      <x:c r="F30" s="43" t="str">
        <x:v>Meta-analysis</x:v>
      </x:c>
      <x:c r="G30" s="43" t="str">
        <x:v>Populations represented in the included literature; domains, countries, ages, and sampling frames vary by source.</x:v>
      </x:c>
      <x:c r="H30" s="43" t="str">
        <x:v>Perceived descriptive and injunctive norms are distinct and show different associations with behavior.</x:v>
      </x:c>
      <x:c r="I30" s="43" t="str">
        <x:v>Construct- and relationship-specific; see the finding, limitations, and linked Relationships records.</x:v>
      </x:c>
      <x:c r="J30" s="43" t="str">
        <x:v>College alcohol context limits direct transfer; perceived norms can be biased.</x:v>
      </x:c>
      <x:c r="K30" s="43" t="str">
        <x:v>Strong</x:v>
      </x:c>
      <x:c r="L30" s="43" t="str">
        <x:v>https://pubmed.ncbi.nlm.nih.gov/12817821/</x:v>
      </x:c>
      <x:c r="M30" s="43" t="str">
        <x:v>Bibliographic metadata and persistent URL were normalized during the 2026-08-25 Layer 2 reconstruction. This is a representative evidence record, not a new formal systematic-review extraction.</x:v>
      </x:c>
    </x:row>
    <x:row r="31" ht="68" customHeight="1">
      <x:c r="A31" s="43" t="str">
        <x:v>SRC133</x:v>
      </x:c>
      <x:c r="B31" s="43" t="str">
        <x:v>PSY-022; PSY-023</x:v>
      </x:c>
      <x:c r="C31" s="43" t="str">
        <x:v>Normative &amp; Relational Perceptions</x:v>
      </x:c>
      <x:c r="D31" s="43" t="str">
        <x:v>Colquitt et al. (2001) — Justice at the millennium: a meta-analytic review of organizational justice research</x:v>
      </x:c>
      <x:c r="E31" s="43" t="n">
        <x:v>2001</x:v>
      </x:c>
      <x:c r="F31" s="43" t="str">
        <x:v>Meta-analysis</x:v>
      </x:c>
      <x:c r="G31" s="43" t="str">
        <x:v>Populations represented in the included literature; domains, countries, ages, and sampling frames vary by source.</x:v>
      </x:c>
      <x:c r="H31" s="43" t="str">
        <x:v>Procedural, distributive, interpersonal, and informational justice show distinguishable relationships with trust, acceptance, and behavior.</x:v>
      </x:c>
      <x:c r="I31" s="43" t="str">
        <x:v>Construct- and relationship-specific; see the finding, limitations, and linked Relationships records.</x:v>
      </x:c>
      <x:c r="J31" s="43" t="str">
        <x:v>Organizational emphasis; many effects are correlational and common-method bias is possible.</x:v>
      </x:c>
      <x:c r="K31" s="43" t="str">
        <x:v>Strong</x:v>
      </x:c>
      <x:c r="L31" s="43" t="str">
        <x:v>https://doi.org/10.1037/0021-9010.86.3.425</x:v>
      </x:c>
      <x:c r="M31" s="43" t="str">
        <x:v>Bibliographic metadata and persistent URL were normalized during the 2026-08-25 Layer 2 reconstruction. This is a representative evidence record, not a new formal systematic-review extraction.</x:v>
      </x:c>
    </x:row>
    <x:row r="32" ht="68" customHeight="1">
      <x:c r="A32" s="43" t="str">
        <x:v>SRC134</x:v>
      </x:c>
      <x:c r="B32" s="43" t="str">
        <x:v>PSY-019</x:v>
      </x:c>
      <x:c r="C32" s="43" t="str">
        <x:v>Normative &amp; Relational Perceptions</x:v>
      </x:c>
      <x:c r="D32" s="43" t="str">
        <x:v>Cohen &amp; Wills (1985) — Stress, social support, and the buffering hypothesis</x:v>
      </x:c>
      <x:c r="E32" s="43" t="n">
        <x:v>1985</x:v>
      </x:c>
      <x:c r="F32" s="43" t="str">
        <x:v>Systematic review and theory synthesis</x:v>
      </x:c>
      <x:c r="G32" s="43" t="str">
        <x:v>Populations represented in the included literature; domains, countries, ages, and sampling frames vary by source.</x:v>
      </x:c>
      <x:c r="H32" s="43" t="str">
        <x:v>Perceived and received support can have direct and stress-buffering associations with adjustment.</x:v>
      </x:c>
      <x:c r="I32" s="43" t="str">
        <x:v>Construct- and relationship-specific; see the finding, limitations, and linked Relationships records.</x:v>
      </x:c>
      <x:c r="J32" s="43" t="str">
        <x:v>Support measures and causal designs vary; perceived and enacted support should remain distinct.</x:v>
      </x:c>
      <x:c r="K32" s="43" t="str">
        <x:v>Strong</x:v>
      </x:c>
      <x:c r="L32" s="43" t="str">
        <x:v>https://pubmed.ncbi.nlm.nih.gov/3901065/</x:v>
      </x:c>
      <x:c r="M32" s="43" t="str">
        <x:v>Bibliographic metadata and persistent URL were normalized during the 2026-08-25 Layer 2 reconstruction. This is a representative evidence record, not a new formal systematic-review extraction.</x:v>
      </x:c>
    </x:row>
    <x:row r="33" ht="68" customHeight="1">
      <x:c r="A33" s="43" t="str">
        <x:v>SRC135</x:v>
      </x:c>
      <x:c r="B33" s="43" t="str">
        <x:v>PSY-020; PSY-024</x:v>
      </x:c>
      <x:c r="C33" s="43" t="str">
        <x:v>Normative &amp; Relational Perceptions</x:v>
      </x:c>
      <x:c r="D33" s="43" t="str">
        <x:v>Baumeister &amp; Leary (1995) — The need to belong: desire for interpersonal attachments as a fundamental human motivation</x:v>
      </x:c>
      <x:c r="E33" s="43" t="n">
        <x:v>1995</x:v>
      </x:c>
      <x:c r="F33" s="43" t="str">
        <x:v>Authoritative review</x:v>
      </x:c>
      <x:c r="G33" s="43" t="str">
        <x:v>Populations represented in the included literature; domains, countries, ages, and sampling frames vary by source.</x:v>
      </x:c>
      <x:c r="H33" s="43" t="str">
        <x:v>Converging evidence supports belonging and stable social connection as behaviorally consequential motives.</x:v>
      </x:c>
      <x:c r="I33" s="43" t="str">
        <x:v>Construct- and relationship-specific; see the finding, limitations, and linked Relationships records.</x:v>
      </x:c>
      <x:c r="J33" s="43" t="str">
        <x:v>Broad review; belonging, relatedness need satisfaction, and actual network inclusion remain distinct.</x:v>
      </x:c>
      <x:c r="K33" s="43" t="str">
        <x:v>Strong</x:v>
      </x:c>
      <x:c r="L33" s="43" t="str">
        <x:v>https://pubmed.ncbi.nlm.nih.gov/7777651/</x:v>
      </x:c>
      <x:c r="M33" s="43" t="str">
        <x:v>Bibliographic metadata and persistent URL were normalized during the 2026-08-25 Layer 2 reconstruction. This is a representative evidence record, not a new formal systematic-review extraction.</x:v>
      </x:c>
    </x:row>
    <x:row r="34" ht="68" customHeight="1">
      <x:c r="A34" s="43" t="str">
        <x:v>SRC136</x:v>
      </x:c>
      <x:c r="B34" s="43" t="str">
        <x:v>PSY-021; PSY-118</x:v>
      </x:c>
      <x:c r="C34" s="43" t="str">
        <x:v>Normative &amp; Relational Perceptions; Epistemic Trust &amp; Persuasion</x:v>
      </x:c>
      <x:c r="D34" s="43" t="str">
        <x:v>Mayer, Davis &amp; Schoorman (1995) — An integrative model of organizational trust</x:v>
      </x:c>
      <x:c r="E34" s="43" t="n">
        <x:v>1995</x:v>
      </x:c>
      <x:c r="F34" s="43" t="str">
        <x:v>Foundational theory review</x:v>
      </x:c>
      <x:c r="G34" s="43" t="str">
        <x:v>Populations represented in the included literature; domains, countries, ages, and sampling frames vary by source.</x:v>
      </x:c>
      <x:c r="H34" s="43" t="str">
        <x:v>Trust permits risk taking under vulnerability through judgments of ability, benevolence, and integrity.</x:v>
      </x:c>
      <x:c r="I34" s="43" t="str">
        <x:v>Construct- and relationship-specific; see the finding, limitations, and linked Relationships records.</x:v>
      </x:c>
      <x:c r="J34" s="43" t="str">
        <x:v>Organizational model; dimensions and measures vary across interpersonal contexts.</x:v>
      </x:c>
      <x:c r="K34" s="43" t="str">
        <x:v>Moderate</x:v>
      </x:c>
      <x:c r="L34" s="43" t="str">
        <x:v>https://doi.org/10.5465/amr.1995.9508080335</x:v>
      </x:c>
      <x:c r="M34" s="43" t="str">
        <x:v>Bibliographic metadata and persistent URL were normalized during the 2026-08-25 Layer 2 reconstruction. This is a representative evidence record, not a new formal systematic-review extraction.</x:v>
      </x:c>
    </x:row>
    <x:row r="35" ht="68" customHeight="1">
      <x:c r="A35" s="43" t="str">
        <x:v>SRC137</x:v>
      </x:c>
      <x:c r="B35" s="43" t="str">
        <x:v>PSY-009; PSY-022; PSY-023</x:v>
      </x:c>
      <x:c r="C35" s="43" t="str">
        <x:v>Risk, Threat &amp; Coping Appraisal; Normative &amp; Relational Perceptions</x:v>
      </x:c>
      <x:c r="D35" s="43" t="str">
        <x:v>Mazerolle et al. (2013) — Legitimacy in policing: a systematic review</x:v>
      </x:c>
      <x:c r="E35" s="43" t="n">
        <x:v>2013</x:v>
      </x:c>
      <x:c r="F35" s="43" t="str">
        <x:v>Systematic review and meta-analysis</x:v>
      </x:c>
      <x:c r="G35" s="43" t="str">
        <x:v>Populations represented in the included literature; domains, countries, ages, and sampling frames vary by source.</x:v>
      </x:c>
      <x:c r="H35" s="43" t="str">
        <x:v>Procedural-justice interventions generally improve legitimacy-related perceptions and selected compliance outcomes.</x:v>
      </x:c>
      <x:c r="I35" s="43" t="str">
        <x:v>Construct- and relationship-specific; see the finding, limitations, and linked Relationships records.</x:v>
      </x:c>
      <x:c r="J35" s="43" t="str">
        <x:v>Policing domain; intervention heterogeneity and downstream behavioral evidence vary.</x:v>
      </x:c>
      <x:c r="K35" s="43" t="str">
        <x:v>Strong</x:v>
      </x:c>
      <x:c r="L35" s="43" t="str">
        <x:v>https://doi.org/10.4073/csr.2013.1</x:v>
      </x:c>
      <x:c r="M35" s="43" t="str">
        <x:v>Bibliographic metadata and persistent URL were normalized during the 2026-08-25 Layer 2 reconstruction. This is a representative evidence record, not a new formal systematic-review extraction.</x:v>
      </x:c>
    </x:row>
    <x:row r="36" ht="68" customHeight="1">
      <x:c r="A36" s="43" t="str">
        <x:v>SRC138</x:v>
      </x:c>
      <x:c r="B36" s="43" t="str">
        <x:v>PSY-032; PSY-033; PSY-034; PSY-035; PSY-036; PSY-037</x:v>
      </x:c>
      <x:c r="C36" s="43" t="str">
        <x:v>Motivation, Goals &amp; Psychological Needs</x:v>
      </x:c>
      <x:c r="D36" s="43" t="str">
        <x:v>Ng et al. (2012) — Self-determination theory applied to health contexts: a meta-analysis</x:v>
      </x:c>
      <x:c r="E36" s="43" t="n">
        <x:v>2012</x:v>
      </x:c>
      <x:c r="F36" s="43" t="str">
        <x:v>Meta-analysis</x:v>
      </x:c>
      <x:c r="G36" s="43" t="str">
        <x:v>Populations represented in the included literature; domains, countries, ages, and sampling frames vary by source.</x:v>
      </x:c>
      <x:c r="H36" s="43" t="str">
        <x:v>Autonomous motivation and psychological-need support show differentiated associations with health behavior and outcomes.</x:v>
      </x:c>
      <x:c r="I36" s="43" t="str">
        <x:v>Construct- and relationship-specific; see the finding, limitations, and linked Relationships records.</x:v>
      </x:c>
      <x:c r="J36" s="43" t="str">
        <x:v>Predominantly health contexts; path estimates combine heterogeneous designs and measures.</x:v>
      </x:c>
      <x:c r="K36" s="43" t="str">
        <x:v>Strong</x:v>
      </x:c>
      <x:c r="L36" s="43" t="str">
        <x:v>https://pubmed.ncbi.nlm.nih.gov/26168470/</x:v>
      </x:c>
      <x:c r="M36" s="43" t="str">
        <x:v>Bibliographic metadata and persistent URL were normalized during the 2026-08-25 Layer 2 reconstruction. This is a representative evidence record, not a new formal systematic-review extraction.</x:v>
      </x:c>
    </x:row>
    <x:row r="37" ht="68" customHeight="1">
      <x:c r="A37" s="43" t="str">
        <x:v>SRC139</x:v>
      </x:c>
      <x:c r="B37" s="43" t="str">
        <x:v>PSY-027; PSY-028; PSY-031; PSY-077</x:v>
      </x:c>
      <x:c r="C37" s="43" t="str">
        <x:v>Motivation, Goals &amp; Psychological Needs; Planning, Self-Regulation &amp; Executive Control</x:v>
      </x:c>
      <x:c r="D37" s="43" t="str">
        <x:v>Harkin et al. (2016) — Does monitoring goal progress promote goal attainment? A meta-analysis</x:v>
      </x:c>
      <x:c r="E37" s="43" t="n">
        <x:v>2016</x:v>
      </x:c>
      <x:c r="F37" s="43" t="str">
        <x:v>Meta-analysis</x:v>
      </x:c>
      <x:c r="G37" s="43" t="str">
        <x:v>Populations represented in the included literature; domains, countries, ages, and sampling frames vary by source.</x:v>
      </x:c>
      <x:c r="H37" s="43" t="str">
        <x:v>Progress monitoring improves goal attainment, especially when outcomes are recorded or reported.</x:v>
      </x:c>
      <x:c r="I37" s="43" t="str">
        <x:v>Construct- and relationship-specific; see the finding, limitations, and linked Relationships records.</x:v>
      </x:c>
      <x:c r="J37" s="43" t="str">
        <x:v>Intervention content and goal domains vary; monitoring may also alter motivation or accountability.</x:v>
      </x:c>
      <x:c r="K37" s="43" t="str">
        <x:v>Strong</x:v>
      </x:c>
      <x:c r="L37" s="43" t="str">
        <x:v>https://pubmed.ncbi.nlm.nih.gov/26479070/</x:v>
      </x:c>
      <x:c r="M37" s="43" t="str">
        <x:v>Bibliographic metadata and persistent URL were normalized during the 2026-08-25 Layer 2 reconstruction. This is a representative evidence record, not a new formal systematic-review extraction.</x:v>
      </x:c>
    </x:row>
    <x:row r="38" ht="68" customHeight="1">
      <x:c r="A38" s="43" t="str">
        <x:v>SRC140</x:v>
      </x:c>
      <x:c r="B38" s="43" t="str">
        <x:v>PSY-040</x:v>
      </x:c>
      <x:c r="C38" s="43" t="str">
        <x:v>Motivation, Goals &amp; Psychological Needs</x:v>
      </x:c>
      <x:c r="D38" s="43" t="str">
        <x:v>Brewer et al. (2016) — Meta-analysis of the relationship between anticipated regret and health behavior</x:v>
      </x:c>
      <x:c r="E38" s="43" t="n">
        <x:v>2016</x:v>
      </x:c>
      <x:c r="F38" s="43" t="str">
        <x:v>Meta-analysis</x:v>
      </x:c>
      <x:c r="G38" s="43" t="str">
        <x:v>Populations represented in the included literature; domains, countries, ages, and sampling frames vary by source.</x:v>
      </x:c>
      <x:c r="H38" s="43" t="str">
        <x:v>Anticipated regret is associated with health intentions and behavior and can add predictive value beyond standard reasoned-action variables.</x:v>
      </x:c>
      <x:c r="I38" s="43" t="str">
        <x:v>Construct- and relationship-specific; see the finding, limitations, and linked Relationships records.</x:v>
      </x:c>
      <x:c r="J38" s="43" t="str">
        <x:v>Health domain and mostly observational prediction; wording and omission/action regret differ.</x:v>
      </x:c>
      <x:c r="K38" s="43" t="str">
        <x:v>Strong</x:v>
      </x:c>
      <x:c r="L38" s="43" t="str">
        <x:v>https://pubmed.ncbi.nlm.nih.gov/27607136/</x:v>
      </x:c>
      <x:c r="M38" s="43" t="str">
        <x:v>Bibliographic metadata and persistent URL were normalized during the 2026-08-25 Layer 2 reconstruction. This is a representative evidence record, not a new formal systematic-review extraction.</x:v>
      </x:c>
    </x:row>
    <x:row r="39" ht="68" customHeight="1">
      <x:c r="A39" s="43" t="str">
        <x:v>SRC141</x:v>
      </x:c>
      <x:c r="B39" s="43" t="str">
        <x:v>PSY-040</x:v>
      </x:c>
      <x:c r="C39" s="43" t="str">
        <x:v>Motivation, Goals &amp; Psychological Needs</x:v>
      </x:c>
      <x:c r="D39" s="43" t="str">
        <x:v>Sandberg &amp; Conner (2008) — Anticipated regret as an additional predictor in the theory of planned behaviour</x:v>
      </x:c>
      <x:c r="E39" s="43" t="n">
        <x:v>2008</x:v>
      </x:c>
      <x:c r="F39" s="43" t="str">
        <x:v>Meta-analysis</x:v>
      </x:c>
      <x:c r="G39" s="43" t="str">
        <x:v>Populations represented in the included literature; domains, countries, ages, and sampling frames vary by source.</x:v>
      </x:c>
      <x:c r="H39" s="43" t="str">
        <x:v>Anticipated regret contributes to intention and behavior prediction across studied actions.</x:v>
      </x:c>
      <x:c r="I39" s="43" t="str">
        <x:v>Construct- and relationship-specific; see the finding, limitations, and linked Relationships records.</x:v>
      </x:c>
      <x:c r="J39" s="43" t="str">
        <x:v>Potential publication and common-method bias; causal effect is less certain than predictive association.</x:v>
      </x:c>
      <x:c r="K39" s="43" t="str">
        <x:v>Moderate</x:v>
      </x:c>
      <x:c r="L39" s="43" t="str">
        <x:v>https://pubmed.ncbi.nlm.nih.gov/18039428/</x:v>
      </x:c>
      <x:c r="M39" s="43" t="str">
        <x:v>Bibliographic metadata and persistent URL were normalized during the 2026-08-25 Layer 2 reconstruction. This is a representative evidence record, not a new formal systematic-review extraction.</x:v>
      </x:c>
    </x:row>
    <x:row r="40" ht="68" customHeight="1">
      <x:c r="A40" s="43" t="str">
        <x:v>SRC142</x:v>
      </x:c>
      <x:c r="B40" s="43" t="str">
        <x:v>PSY-047; PSY-050; PSY-051</x:v>
      </x:c>
      <x:c r="C40" s="43" t="str">
        <x:v>Affect &amp; Emotion</x:v>
      </x:c>
      <x:c r="D40" s="43" t="str">
        <x:v>Watson, Clark &amp; Tellegen (1988) — Development and validation of brief measures of positive and negative affect</x:v>
      </x:c>
      <x:c r="E40" s="43" t="n">
        <x:v>1988</x:v>
      </x:c>
      <x:c r="F40" s="43" t="str">
        <x:v>Scale-development and validation studies</x:v>
      </x:c>
      <x:c r="G40" s="43" t="str">
        <x:v>Primarily human participant samples in the cited research; consult the source for exact population and sampling details.</x:v>
      </x:c>
      <x:c r="H40" s="43" t="str">
        <x:v>Provides separable positive and negative affect dimensions widely used for state and trait assessment.</x:v>
      </x:c>
      <x:c r="I40" s="43" t="str">
        <x:v>Construct- and relationship-specific; see the finding, limitations, and linked Relationships records.</x:v>
      </x:c>
      <x:c r="J40" s="43" t="str">
        <x:v>Positive/negative affect is not a single bipolar valence scale; self-report and time frame matter.</x:v>
      </x:c>
      <x:c r="K40" s="43" t="str">
        <x:v>Strong</x:v>
      </x:c>
      <x:c r="L40" s="43" t="str">
        <x:v>https://doi.org/10.1037/0022-3514.54.6.1063</x:v>
      </x:c>
      <x:c r="M40" s="43" t="str">
        <x:v>Bibliographic metadata and persistent URL were normalized during the 2026-08-25 Layer 2 reconstruction. This is a representative evidence record, not a new formal systematic-review extraction.</x:v>
      </x:c>
    </x:row>
    <x:row r="41" ht="68" customHeight="1">
      <x:c r="A41" s="43" t="str">
        <x:v>SRC143</x:v>
      </x:c>
      <x:c r="B41" s="43" t="str">
        <x:v>PSY-079; PSY-083</x:v>
      </x:c>
      <x:c r="C41" s="43" t="str">
        <x:v>Planning, Self-Regulation &amp; Executive Control</x:v>
      </x:c>
      <x:c r="D41" s="43" t="str">
        <x:v>Aldao, Nolen-Hoeksema &amp; Schweizer (2010) — Emotion-regulation strategies across psychopathology: a meta-analytic review</x:v>
      </x:c>
      <x:c r="E41" s="43" t="n">
        <x:v>2010</x:v>
      </x:c>
      <x:c r="F41" s="43" t="str">
        <x:v>Meta-analysis</x:v>
      </x:c>
      <x:c r="G41" s="43" t="str">
        <x:v>Populations represented in the included literature; domains, countries, ages, and sampling frames vary by source.</x:v>
      </x:c>
      <x:c r="H41" s="43" t="str">
        <x:v>Regulation strategies show differentiated relationships with psychopathology and adjustment.</x:v>
      </x:c>
      <x:c r="I41" s="43" t="str">
        <x:v>Construct- and relationship-specific; see the finding, limitations, and linked Relationships records.</x:v>
      </x:c>
      <x:c r="J41" s="43" t="str">
        <x:v>Clinical symptom outcomes and correlational designs dominate; strategy effectiveness is context dependent.</x:v>
      </x:c>
      <x:c r="K41" s="43" t="str">
        <x:v>Strong</x:v>
      </x:c>
      <x:c r="L41" s="43" t="str">
        <x:v>https://pubmed.ncbi.nlm.nih.gov/20015584/</x:v>
      </x:c>
      <x:c r="M41" s="43" t="str">
        <x:v>Bibliographic metadata and persistent URL were normalized during the 2026-08-25 Layer 2 reconstruction. This is a representative evidence record, not a new formal systematic-review extraction.</x:v>
      </x:c>
    </x:row>
    <x:row r="42" ht="68" customHeight="1">
      <x:c r="A42" s="43" t="str">
        <x:v>SRC144</x:v>
      </x:c>
      <x:c r="B42" s="43" t="str">
        <x:v>PSY-079</x:v>
      </x:c>
      <x:c r="C42" s="43" t="str">
        <x:v>Planning, Self-Regulation &amp; Executive Control</x:v>
      </x:c>
      <x:c r="D42" s="43" t="str">
        <x:v>Gross &amp; John (2003) — Individual differences in two emotion-regulation processes</x:v>
      </x:c>
      <x:c r="E42" s="43" t="n">
        <x:v>2003</x:v>
      </x:c>
      <x:c r="F42" s="43" t="str">
        <x:v>Scale-development and validation studies</x:v>
      </x:c>
      <x:c r="G42" s="43" t="str">
        <x:v>Primarily human participant samples in the cited research; consult the source for exact population and sampling details.</x:v>
      </x:c>
      <x:c r="H42" s="43" t="str">
        <x:v>Reappraisal and suppression are distinguishable strategies with different affective and social correlates.</x:v>
      </x:c>
      <x:c r="I42" s="43" t="str">
        <x:v>Construct- and relationship-specific; see the finding, limitations, and linked Relationships records.</x:v>
      </x:c>
      <x:c r="J42" s="43" t="str">
        <x:v>Two-strategy model is incomplete; self-report frequency does not measure regulatory success or capacity.</x:v>
      </x:c>
      <x:c r="K42" s="43" t="str">
        <x:v>Strong</x:v>
      </x:c>
      <x:c r="L42" s="43" t="str">
        <x:v>https://pubmed.ncbi.nlm.nih.gov/12916575/</x:v>
      </x:c>
      <x:c r="M42" s="43" t="str">
        <x:v>Bibliographic metadata and persistent URL were normalized during the 2026-08-25 Layer 2 reconstruction. This is a representative evidence record, not a new formal systematic-review extraction.</x:v>
      </x:c>
    </x:row>
    <x:row r="43" ht="68" customHeight="1">
      <x:c r="A43" s="43" t="str">
        <x:v>SRC145</x:v>
      </x:c>
      <x:c r="B43" s="43" t="str">
        <x:v>PSY-053</x:v>
      </x:c>
      <x:c r="C43" s="43" t="str">
        <x:v>Affect &amp; Emotion</x:v>
      </x:c>
      <x:c r="D43" s="43" t="str">
        <x:v>Decety &amp; Jackson (2004) — The functional architecture of human empathy</x:v>
      </x:c>
      <x:c r="E43" s="43" t="n">
        <x:v>2004</x:v>
      </x:c>
      <x:c r="F43" s="43" t="str">
        <x:v>Integrative review</x:v>
      </x:c>
      <x:c r="G43" s="43" t="str">
        <x:v>Populations represented in the included literature; domains, countries, ages, and sampling frames vary by source.</x:v>
      </x:c>
      <x:c r="H43" s="43" t="str">
        <x:v>Distinguishes affective sharing, self–other awareness, perspective taking, and regulation in empathy-related responding.</x:v>
      </x:c>
      <x:c r="I43" s="43" t="str">
        <x:v>Construct- and relationship-specific; see the finding, limitations, and linked Relationships records.</x:v>
      </x:c>
      <x:c r="J43" s="43" t="str">
        <x:v>Broad construct synthesis; empathic concern should not be equated with all empathy components.</x:v>
      </x:c>
      <x:c r="K43" s="43" t="str">
        <x:v>Moderate</x:v>
      </x:c>
      <x:c r="L43" s="43" t="str">
        <x:v>https://pubmed.ncbi.nlm.nih.gov/15556055/</x:v>
      </x:c>
      <x:c r="M43" s="43" t="str">
        <x:v>Bibliographic metadata and persistent URL were normalized during the 2026-08-25 Layer 2 reconstruction. This is a representative evidence record, not a new formal systematic-review extraction.</x:v>
      </x:c>
    </x:row>
    <x:row r="44" ht="68" customHeight="1">
      <x:c r="A44" s="43" t="str">
        <x:v>SRC146</x:v>
      </x:c>
      <x:c r="B44" s="43" t="str">
        <x:v>PSY-054</x:v>
      </x:c>
      <x:c r="C44" s="43" t="str">
        <x:v>Affect &amp; Emotion</x:v>
      </x:c>
      <x:c r="D44" s="43" t="str">
        <x:v>Cohen, Kamarck &amp; Mermelstein (1983) — A global measure of perceived stress</x:v>
      </x:c>
      <x:c r="E44" s="43" t="n">
        <x:v>1983</x:v>
      </x:c>
      <x:c r="F44" s="43" t="str">
        <x:v>Scale-development and validation studies</x:v>
      </x:c>
      <x:c r="G44" s="43" t="str">
        <x:v>Primarily human participant samples in the cited research; consult the source for exact population and sampling details.</x:v>
      </x:c>
      <x:c r="H44" s="43" t="str">
        <x:v>Operationalizes perceived unpredictability, uncontrollability, and overload as a subjective stress appraisal.</x:v>
      </x:c>
      <x:c r="I44" s="43" t="str">
        <x:v>Construct- and relationship-specific; see the finding, limitations, and linked Relationships records.</x:v>
      </x:c>
      <x:c r="J44" s="43" t="str">
        <x:v>Global self-report is not an objective stressor count or biological stress measure.</x:v>
      </x:c>
      <x:c r="K44" s="43" t="str">
        <x:v>Strong</x:v>
      </x:c>
      <x:c r="L44" s="43" t="str">
        <x:v>https://doi.org/10.2307/2136404</x:v>
      </x:c>
      <x:c r="M44" s="43" t="str">
        <x:v>Bibliographic metadata and persistent URL were normalized during the 2026-08-25 Layer 2 reconstruction. This is a representative evidence record, not a new formal systematic-review extraction.</x:v>
      </x:c>
    </x:row>
    <x:row r="45" ht="68" customHeight="1">
      <x:c r="A45" s="43" t="str">
        <x:v>SRC147</x:v>
      </x:c>
      <x:c r="B45" s="43" t="str">
        <x:v>PSY-042; PSY-057; PSY-058</x:v>
      </x:c>
      <x:c r="C45" s="43" t="str">
        <x:v>Affect &amp; Emotion; Attention &amp; Cognitive Processing</x:v>
      </x:c>
      <x:c r="D45" s="43" t="str">
        <x:v>Moran (2016) — Anxiety and working memory capacity: a meta-analysis and narrative review</x:v>
      </x:c>
      <x:c r="E45" s="43" t="n">
        <x:v>2016</x:v>
      </x:c>
      <x:c r="F45" s="43" t="str">
        <x:v>Meta-analysis</x:v>
      </x:c>
      <x:c r="G45" s="43" t="str">
        <x:v>Populations represented in the included literature; domains, countries, ages, and sampling frames vary by source.</x:v>
      </x:c>
      <x:c r="H45" s="43" t="str">
        <x:v>Anxiety is associated with reduced working-memory performance, with heterogeneity by task and sample.</x:v>
      </x:c>
      <x:c r="I45" s="43" t="str">
        <x:v>Construct- and relationship-specific; see the finding, limitations, and linked Relationships records.</x:v>
      </x:c>
      <x:c r="J45" s="43" t="str">
        <x:v>Association does not establish a single mechanism; clinical and nonclinical measures vary.</x:v>
      </x:c>
      <x:c r="K45" s="43" t="str">
        <x:v>Strong</x:v>
      </x:c>
      <x:c r="L45" s="43" t="str">
        <x:v>https://pubmed.ncbi.nlm.nih.gov/26963369/</x:v>
      </x:c>
      <x:c r="M45" s="43" t="str">
        <x:v>Bibliographic metadata and persistent URL were normalized during the 2026-08-25 Layer 2 reconstruction. This is a representative evidence record, not a new formal systematic-review extraction.</x:v>
      </x:c>
    </x:row>
    <x:row r="46" ht="68" customHeight="1">
      <x:c r="A46" s="43" t="str">
        <x:v>SRC148</x:v>
      </x:c>
      <x:c r="B46" s="43" t="str">
        <x:v>PSY-042; PSY-055; PSY-056; PSY-058; PSY-080</x:v>
      </x:c>
      <x:c r="C46" s="43" t="str">
        <x:v>Affect &amp; Emotion; Attention &amp; Cognitive Processing; Planning, Self-Regulation &amp; Executive Control</x:v>
      </x:c>
      <x:c r="D46" s="43" t="str">
        <x:v>Eysenck et al. (2007) — Anxiety and cognitive performance: attentional control theory</x:v>
      </x:c>
      <x:c r="E46" s="43" t="n">
        <x:v>2007</x:v>
      </x:c>
      <x:c r="F46" s="43" t="str">
        <x:v>Authoritative theory review</x:v>
      </x:c>
      <x:c r="G46" s="43" t="str">
        <x:v>Populations represented in the included literature; domains, countries, ages, and sampling frames vary by source.</x:v>
      </x:c>
      <x:c r="H46" s="43" t="str">
        <x:v>Anxiety can reduce goal-directed attentional control and increase stimulus-driven processing, particularly under load.</x:v>
      </x:c>
      <x:c r="I46" s="43" t="str">
        <x:v>Construct- and relationship-specific; see the finding, limitations, and linked Relationships records.</x:v>
      </x:c>
      <x:c r="J46" s="43" t="str">
        <x:v>Predictions depend on task demands and compensatory effort; efficiency and effectiveness differ.</x:v>
      </x:c>
      <x:c r="K46" s="43" t="str">
        <x:v>Strong</x:v>
      </x:c>
      <x:c r="L46" s="43" t="str">
        <x:v>https://pubmed.ncbi.nlm.nih.gov/17516812/</x:v>
      </x:c>
      <x:c r="M46" s="43" t="str">
        <x:v>Bibliographic metadata and persistent URL were normalized during the 2026-08-25 Layer 2 reconstruction. This is a representative evidence record, not a new formal systematic-review extraction.</x:v>
      </x:c>
    </x:row>
    <x:row r="47" ht="68" customHeight="1">
      <x:c r="A47" s="43" t="str">
        <x:v>SRC149</x:v>
      </x:c>
      <x:c r="B47" s="43" t="str">
        <x:v>PSY-057; PSY-058; PSY-062; PSY-080; PSY-081</x:v>
      </x:c>
      <x:c r="C47" s="43" t="str">
        <x:v>Attention &amp; Cognitive Processing; Planning, Self-Regulation &amp; Executive Control</x:v>
      </x:c>
      <x:c r="D47" s="43" t="str">
        <x:v>Diamond (2013) — Executive functions</x:v>
      </x:c>
      <x:c r="E47" s="43" t="n">
        <x:v>2013</x:v>
      </x:c>
      <x:c r="F47" s="43" t="str">
        <x:v>Authoritative review</x:v>
      </x:c>
      <x:c r="G47" s="43" t="str">
        <x:v>Populations represented in the included literature; domains, countries, ages, and sampling frames vary by source.</x:v>
      </x:c>
      <x:c r="H47" s="43" t="str">
        <x:v>Working memory, inhibitory control, and cognitive flexibility are distinguishable but related executive functions.</x:v>
      </x:c>
      <x:c r="I47" s="43" t="str">
        <x:v>Construct- and relationship-specific; see the finding, limitations, and linked Relationships records.</x:v>
      </x:c>
      <x:c r="J47" s="43" t="str">
        <x:v>Task impurity, development, training transfer, and cross-task reliability limit simple measurement.</x:v>
      </x:c>
      <x:c r="K47" s="43" t="str">
        <x:v>Strong</x:v>
      </x:c>
      <x:c r="L47" s="43" t="str">
        <x:v>https://pubmed.ncbi.nlm.nih.gov/23020641/</x:v>
      </x:c>
      <x:c r="M47" s="43" t="str">
        <x:v>Bibliographic metadata and persistent URL were normalized during the 2026-08-25 Layer 2 reconstruction. This is a representative evidence record, not a new formal systematic-review extraction.</x:v>
      </x:c>
    </x:row>
    <x:row r="48" ht="68" customHeight="1">
      <x:c r="A48" s="43" t="str">
        <x:v>SRC150</x:v>
      </x:c>
      <x:c r="B48" s="43" t="str">
        <x:v>PSY-062</x:v>
      </x:c>
      <x:c r="C48" s="43" t="str">
        <x:v>Attention &amp; Cognitive Processing</x:v>
      </x:c>
      <x:c r="D48" s="43" t="str">
        <x:v>Dajani &amp; Uddin (2015) — Demystifying cognitive flexibility: implications for clinical and developmental neuroscience</x:v>
      </x:c>
      <x:c r="E48" s="43" t="n">
        <x:v>2015</x:v>
      </x:c>
      <x:c r="F48" s="43" t="str">
        <x:v>Authoritative review</x:v>
      </x:c>
      <x:c r="G48" s="43" t="str">
        <x:v>Populations represented in the included literature; domains, countries, ages, and sampling frames vary by source.</x:v>
      </x:c>
      <x:c r="H48" s="43" t="str">
        <x:v>Cognitive flexibility spans switching, adaptation, and context-dependent control with multiple operationalizations.</x:v>
      </x:c>
      <x:c r="I48" s="43" t="str">
        <x:v>Construct- and relationship-specific; see the finding, limitations, and linked Relationships records.</x:v>
      </x:c>
      <x:c r="J48" s="43" t="str">
        <x:v>Construct and task heterogeneity prevent a single pure metric.</x:v>
      </x:c>
      <x:c r="K48" s="43" t="str">
        <x:v>Moderate</x:v>
      </x:c>
      <x:c r="L48" s="43" t="str">
        <x:v>https://pubmed.ncbi.nlm.nih.gov/26343956/</x:v>
      </x:c>
      <x:c r="M48" s="43" t="str">
        <x:v>Bibliographic metadata and persistent URL were normalized during the 2026-08-25 Layer 2 reconstruction. This is a representative evidence record, not a new formal systematic-review extraction.</x:v>
      </x:c>
    </x:row>
    <x:row r="49" ht="68" customHeight="1">
      <x:c r="A49" s="43" t="str">
        <x:v>SRC151</x:v>
      </x:c>
      <x:c r="B49" s="43" t="str">
        <x:v>PSY-063; PSY-064; PSY-065</x:v>
      </x:c>
      <x:c r="C49" s="43" t="str">
        <x:v>Knowledge, Memory &amp; Mental Representation</x:v>
      </x:c>
      <x:c r="D49" s="43" t="str">
        <x:v>Johnson-Laird (2010) — Mental models and human reasoning</x:v>
      </x:c>
      <x:c r="E49" s="43" t="n">
        <x:v>2010</x:v>
      </x:c>
      <x:c r="F49" s="43" t="str">
        <x:v>Authoritative review</x:v>
      </x:c>
      <x:c r="G49" s="43" t="str">
        <x:v>Populations represented in the included literature; domains, countries, ages, and sampling frames vary by source.</x:v>
      </x:c>
      <x:c r="H49" s="43" t="str">
        <x:v>Internal models support inference and prediction, but limited capacity and incomplete representations produce systematic errors.</x:v>
      </x:c>
      <x:c r="I49" s="43" t="str">
        <x:v>Construct- and relationship-specific; see the finding, limitations, and linked Relationships records.</x:v>
      </x:c>
      <x:c r="J49" s="43" t="str">
        <x:v>Mental-model content is often inferred indirectly and differs by expertise and task.</x:v>
      </x:c>
      <x:c r="K49" s="43" t="str">
        <x:v>Moderate</x:v>
      </x:c>
      <x:c r="L49" s="43" t="str">
        <x:v>https://doi.org/10.1073/pnas.1012933107</x:v>
      </x:c>
      <x:c r="M49" s="43" t="str">
        <x:v>Bibliographic metadata and persistent URL were normalized during the 2026-08-25 Layer 2 reconstruction. This is a representative evidence record, not a new formal systematic-review extraction.</x:v>
      </x:c>
    </x:row>
    <x:row r="50" ht="68" customHeight="1">
      <x:c r="A50" s="43" t="str">
        <x:v>SRC152</x:v>
      </x:c>
      <x:c r="B50" s="43" t="str">
        <x:v>PSY-066</x:v>
      </x:c>
      <x:c r="C50" s="43" t="str">
        <x:v>Knowledge, Memory &amp; Mental Representation</x:v>
      </x:c>
      <x:c r="D50" s="43" t="str">
        <x:v>Higgins (1996) — Knowledge activation: accessibility, applicability, and salience</x:v>
      </x:c>
      <x:c r="E50" s="43" t="n">
        <x:v>1996</x:v>
      </x:c>
      <x:c r="F50" s="43" t="str">
        <x:v>Authoritative review</x:v>
      </x:c>
      <x:c r="G50" s="43" t="str">
        <x:v>Populations represented in the included literature; domains, countries, ages, and sampling frames vary by source.</x:v>
      </x:c>
      <x:c r="H50" s="43" t="str">
        <x:v>Accessible knowledge is more likely to be used when it is applicable to the current target and context.</x:v>
      </x:c>
      <x:c r="I50" s="43" t="str">
        <x:v>Construct- and relationship-specific; see the finding, limitations, and linked Relationships records.</x:v>
      </x:c>
      <x:c r="J50" s="43" t="str">
        <x:v>Accessibility is cue- and task-dependent and is difficult to observe directly.</x:v>
      </x:c>
      <x:c r="K50" s="43" t="str">
        <x:v>Strong</x:v>
      </x:c>
      <x:c r="L50" s="43" t="str">
        <x:v>https://psycnet.apa.org/record/1996-98694-005</x:v>
      </x:c>
      <x:c r="M50" s="43" t="str">
        <x:v>Bibliographic metadata and persistent URL were normalized during the 2026-08-25 Layer 2 reconstruction. This is a representative evidence record, not a new formal systematic-review extraction.</x:v>
      </x:c>
    </x:row>
    <x:row r="51" ht="68" customHeight="1">
      <x:c r="A51" s="43" t="str">
        <x:v>SRC153</x:v>
      </x:c>
      <x:c r="B51" s="43" t="str">
        <x:v>PSY-069</x:v>
      </x:c>
      <x:c r="C51" s="43" t="str">
        <x:v>Knowledge, Memory &amp; Mental Representation</x:v>
      </x:c>
      <x:c r="D51" s="43" t="str">
        <x:v>Nickerson (1998) — Confirmation bias: a ubiquitous phenomenon in many guises</x:v>
      </x:c>
      <x:c r="E51" s="43" t="n">
        <x:v>1998</x:v>
      </x:c>
      <x:c r="F51" s="43" t="str">
        <x:v>Authoritative review</x:v>
      </x:c>
      <x:c r="G51" s="43" t="str">
        <x:v>Populations represented in the included literature; domains, countries, ages, and sampling frames vary by source.</x:v>
      </x:c>
      <x:c r="H51" s="43" t="str">
        <x:v>Prior beliefs shape search, interpretation, and weighting of new evidence through multiple distinguishable processes.</x:v>
      </x:c>
      <x:c r="I51" s="43" t="str">
        <x:v>Construct- and relationship-specific; see the finding, limitations, and linked Relationships records.</x:v>
      </x:c>
      <x:c r="J51" s="43" t="str">
        <x:v>Broad synthesis; not every belief-consistent judgment reflects motivational bias.</x:v>
      </x:c>
      <x:c r="K51" s="43" t="str">
        <x:v>Strong</x:v>
      </x:c>
      <x:c r="L51" s="43" t="str">
        <x:v>https://doi.org/10.1037/1089-2680.2.2.175</x:v>
      </x:c>
      <x:c r="M51" s="43" t="str">
        <x:v>Bibliographic metadata and persistent URL were normalized during the 2026-08-25 Layer 2 reconstruction. This is a representative evidence record, not a new formal systematic-review extraction.</x:v>
      </x:c>
    </x:row>
    <x:row r="52" ht="68" customHeight="1">
      <x:c r="A52" s="43" t="str">
        <x:v>SRC154</x:v>
      </x:c>
      <x:c r="B52" s="43" t="str">
        <x:v>PSY-070; PSY-071</x:v>
      </x:c>
      <x:c r="C52" s="43" t="str">
        <x:v>Learning, Habit &amp; Automaticity</x:v>
      </x:c>
      <x:c r="D52" s="43" t="str">
        <x:v>Verplanken &amp; Orbell (2003) — Reflections on past behavior: a self-report index of habit strength</x:v>
      </x:c>
      <x:c r="E52" s="43" t="n">
        <x:v>2003</x:v>
      </x:c>
      <x:c r="F52" s="43" t="str">
        <x:v>Scale-development and validation studies</x:v>
      </x:c>
      <x:c r="G52" s="43" t="str">
        <x:v>Primarily human participant samples in the cited research; consult the source for exact population and sampling details.</x:v>
      </x:c>
      <x:c r="H52" s="43" t="str">
        <x:v>Provides a context-sensitive measure separating automaticity-related features from behavior frequency alone.</x:v>
      </x:c>
      <x:c r="I52" s="43" t="str">
        <x:v>Construct- and relationship-specific; see the finding, limitations, and linked Relationships records.</x:v>
      </x:c>
      <x:c r="J52" s="43" t="str">
        <x:v>Self-report remains vulnerable to inference from frequency and may not capture nonconscious operation.</x:v>
      </x:c>
      <x:c r="K52" s="43" t="str">
        <x:v>Strong</x:v>
      </x:c>
      <x:c r="L52" s="43" t="str">
        <x:v>https://doi.org/10.1111/j.1559-1816.2003.tb01951.x</x:v>
      </x:c>
      <x:c r="M52" s="43" t="str">
        <x:v>Bibliographic metadata and persistent URL were normalized during the 2026-08-25 Layer 2 reconstruction. This is a representative evidence record, not a new formal systematic-review extraction.</x:v>
      </x:c>
    </x:row>
    <x:row r="53" ht="68" customHeight="1">
      <x:c r="A53" s="43" t="str">
        <x:v>SRC155</x:v>
      </x:c>
      <x:c r="B53" s="43" t="str">
        <x:v>PSY-075; PSY-076</x:v>
      </x:c>
      <x:c r="C53" s="43" t="str">
        <x:v>Planning, Self-Regulation &amp; Executive Control</x:v>
      </x:c>
      <x:c r="D53" s="43" t="str">
        <x:v>Gollwitzer (1999) — Implementation intentions: strong effects of simple plans</x:v>
      </x:c>
      <x:c r="E53" s="43" t="n">
        <x:v>1999</x:v>
      </x:c>
      <x:c r="F53" s="43" t="str">
        <x:v>Authoritative review</x:v>
      </x:c>
      <x:c r="G53" s="43" t="str">
        <x:v>Populations represented in the included literature; domains, countries, ages, and sampling frames vary by source.</x:v>
      </x:c>
      <x:c r="H53" s="43" t="str">
        <x:v>If–then planning links critical cues to goal-directed responses and improves action initiation across tasks.</x:v>
      </x:c>
      <x:c r="I53" s="43" t="str">
        <x:v>Construct- and relationship-specific; see the finding, limitations, and linked Relationships records.</x:v>
      </x:c>
      <x:c r="J53" s="43" t="str">
        <x:v>Effects require active goals, cue opportunity, feasibility, and sufficiently specific plans.</x:v>
      </x:c>
      <x:c r="K53" s="43" t="str">
        <x:v>Strong</x:v>
      </x:c>
      <x:c r="L53" s="43" t="str">
        <x:v>https://doi.org/10.1037/0003-066X.54.7.493</x:v>
      </x:c>
      <x:c r="M53" s="43" t="str">
        <x:v>Bibliographic metadata and persistent URL were normalized during the 2026-08-25 Layer 2 reconstruction. This is a representative evidence record, not a new formal systematic-review extraction.</x:v>
      </x:c>
    </x:row>
    <x:row r="54" ht="68" customHeight="1">
      <x:c r="A54" s="43" t="str">
        <x:v>SRC156</x:v>
      </x:c>
      <x:c r="B54" s="43" t="str">
        <x:v>PSY-002; PSY-007; PSY-116</x:v>
      </x:c>
      <x:c r="C54" s="43" t="str">
        <x:v>Beliefs, Attitudes &amp; Outcome Expectancies; Epistemic Trust &amp; Persuasion</x:v>
      </x:c>
      <x:c r="D54" s="43" t="str">
        <x:v>Tormala &amp; Petty (2004) — Resistance to persuasion and attitude certainty</x:v>
      </x:c>
      <x:c r="E54" s="43" t="n">
        <x:v>2004</x:v>
      </x:c>
      <x:c r="F54" s="43" t="str">
        <x:v>Experimental studies</x:v>
      </x:c>
      <x:c r="G54" s="43" t="str">
        <x:v>Primarily human participant samples in the cited research; consult the source for exact population and sampling details.</x:v>
      </x:c>
      <x:c r="H54" s="43" t="str">
        <x:v>Successfully resisting persuasion can increase attitude certainty, which changes persistence and downstream influence.</x:v>
      </x:c>
      <x:c r="I54" s="43" t="str">
        <x:v>Construct- and relationship-specific; see the finding, limitations, and linked Relationships records.</x:v>
      </x:c>
      <x:c r="J54" s="43" t="str">
        <x:v>Specific persuasion paradigms; certainty, correctness, and importance are distinct attitude-strength dimensions.</x:v>
      </x:c>
      <x:c r="K54" s="43" t="str">
        <x:v>Moderate</x:v>
      </x:c>
      <x:c r="L54" s="43" t="str">
        <x:v>https://pubmed.ncbi.nlm.nih.gov/15448308/</x:v>
      </x:c>
      <x:c r="M54" s="43" t="str">
        <x:v>Bibliographic metadata and persistent URL were normalized during the 2026-08-25 Layer 2 reconstruction. This is a representative evidence record, not a new formal systematic-review extraction.</x:v>
      </x:c>
    </x:row>
    <x:row r="55" ht="68" customHeight="1">
      <x:c r="A55" s="43" t="str">
        <x:v>SRC157</x:v>
      </x:c>
      <x:c r="B55" s="43" t="str">
        <x:v>PSY-082</x:v>
      </x:c>
      <x:c r="C55" s="43" t="str">
        <x:v>Planning, Self-Regulation &amp; Executive Control</x:v>
      </x:c>
      <x:c r="D55" s="43" t="str">
        <x:v>Duckworth &amp; Kern (2011) — A meta-analysis of the convergent validity of self-control measures</x:v>
      </x:c>
      <x:c r="E55" s="43" t="n">
        <x:v>2011</x:v>
      </x:c>
      <x:c r="F55" s="43" t="str">
        <x:v>Meta-analysis</x:v>
      </x:c>
      <x:c r="G55" s="43" t="str">
        <x:v>Populations represented in the included literature; domains, countries, ages, and sampling frames vary by source.</x:v>
      </x:c>
      <x:c r="H55" s="43" t="str">
        <x:v>Self-report and task measures of self-control show limited convergence and predict partly different outcomes.</x:v>
      </x:c>
      <x:c r="I55" s="43" t="str">
        <x:v>Construct- and relationship-specific; see the finding, limitations, and linked Relationships records.</x:v>
      </x:c>
      <x:c r="J55" s="43" t="str">
        <x:v>Measurement heterogeneity limits inference about a single underlying capacity.</x:v>
      </x:c>
      <x:c r="K55" s="43" t="str">
        <x:v>Strong</x:v>
      </x:c>
      <x:c r="L55" s="43" t="str">
        <x:v>https://pubmed.ncbi.nlm.nih.gov/21662016/</x:v>
      </x:c>
      <x:c r="M55" s="43" t="str">
        <x:v>Bibliographic metadata and persistent URL were normalized during the 2026-08-25 Layer 2 reconstruction. This is a representative evidence record, not a new formal systematic-review extraction.</x:v>
      </x:c>
    </x:row>
    <x:row r="56" ht="68" customHeight="1">
      <x:c r="A56" s="43" t="str">
        <x:v>SRC158</x:v>
      </x:c>
      <x:c r="B56" s="43" t="str">
        <x:v>PSY-100</x:v>
      </x:c>
      <x:c r="C56" s="43" t="str">
        <x:v>Self-Concept, Identity &amp; Consistency</x:v>
      </x:c>
      <x:c r="D56" s="43" t="str">
        <x:v>Epton et al. (2015) — The impact of self-affirmation on health-behavior change: a meta-analysis</x:v>
      </x:c>
      <x:c r="E56" s="43" t="n">
        <x:v>2015</x:v>
      </x:c>
      <x:c r="F56" s="43" t="str">
        <x:v>Meta-analysis</x:v>
      </x:c>
      <x:c r="G56" s="43" t="str">
        <x:v>Populations represented in the included literature; domains, countries, ages, and sampling frames vary by source.</x:v>
      </x:c>
      <x:c r="H56" s="43" t="str">
        <x:v>Self-affirmation produces small average improvements in message acceptance, intention, and behavior under self-threat.</x:v>
      </x:c>
      <x:c r="I56" s="43" t="str">
        <x:v>Construct- and relationship-specific; see the finding, limitations, and linked Relationships records.</x:v>
      </x:c>
      <x:c r="J56" s="43" t="str">
        <x:v>Effects are small and heterogeneous and depend on threat, affirmation, population, and outcome.</x:v>
      </x:c>
      <x:c r="K56" s="43" t="str">
        <x:v>Strong</x:v>
      </x:c>
      <x:c r="L56" s="43" t="str">
        <x:v>https://pubmed.ncbi.nlm.nih.gov/25133846/</x:v>
      </x:c>
      <x:c r="M56" s="43" t="str">
        <x:v>Bibliographic metadata and persistent URL were normalized during the 2026-08-25 Layer 2 reconstruction. This is a representative evidence record, not a new formal systematic-review extraction.</x:v>
      </x:c>
    </x:row>
    <x:row r="57" ht="68" customHeight="1">
      <x:c r="A57" s="43" t="str">
        <x:v>SRC159</x:v>
      </x:c>
      <x:c r="B57" s="43" t="str">
        <x:v>PSY-095; PSY-096; PSY-098</x:v>
      </x:c>
      <x:c r="C57" s="43" t="str">
        <x:v>Self-Concept, Identity &amp; Consistency</x:v>
      </x:c>
      <x:c r="D57" s="43" t="str">
        <x:v>Swann et al. (2012) — When group membership gets personal: a theory of identity fusion</x:v>
      </x:c>
      <x:c r="E57" s="43" t="n">
        <x:v>2012</x:v>
      </x:c>
      <x:c r="F57" s="43" t="str">
        <x:v>Authoritative theory review</x:v>
      </x:c>
      <x:c r="G57" s="43" t="str">
        <x:v>Populations represented in the included literature; domains, countries, ages, and sampling frames vary by source.</x:v>
      </x:c>
      <x:c r="H57" s="43" t="str">
        <x:v>Identity fusion is distinguished from ordinary group identification and linked to costly pro-group action under specific conditions.</x:v>
      </x:c>
      <x:c r="I57" s="43" t="str">
        <x:v>Construct- and relationship-specific; see the finding, limitations, and linked Relationships records.</x:v>
      </x:c>
      <x:c r="J57" s="43" t="str">
        <x:v>Relatively young construct; extreme-action outcomes and selected groups are overrepresented.</x:v>
      </x:c>
      <x:c r="K57" s="43" t="str">
        <x:v>Moderate</x:v>
      </x:c>
      <x:c r="L57" s="43" t="str">
        <x:v>https://pubmed.ncbi.nlm.nih.gov/22642548/</x:v>
      </x:c>
      <x:c r="M57" s="43" t="str">
        <x:v>Bibliographic metadata and persistent URL were normalized during the 2026-08-25 Layer 2 reconstruction. This is a representative evidence record, not a new formal systematic-review extraction.</x:v>
      </x:c>
    </x:row>
    <x:row r="58" ht="68" customHeight="1">
      <x:c r="A58" s="43" t="str">
        <x:v>SRC160</x:v>
      </x:c>
      <x:c r="B58" s="43" t="str">
        <x:v>PSY-095; PSY-097; PSY-101; PSY-110</x:v>
      </x:c>
      <x:c r="C58" s="43" t="str">
        <x:v>Self-Concept, Identity &amp; Consistency; Agency, Attribution &amp; Moral Judgment</x:v>
      </x:c>
      <x:c r="D58" s="43" t="str">
        <x:v>da Costa et al. (2023) — Social movements and collective behavior: integration of meta-analysis and systematic review</x:v>
      </x:c>
      <x:c r="E58" s="43" t="n">
        <x:v>2023</x:v>
      </x:c>
      <x:c r="F58" s="43" t="str">
        <x:v>Umbrella review</x:v>
      </x:c>
      <x:c r="G58" s="43" t="str">
        <x:v>Populations represented in the included literature; domains, countries, ages, and sampling frames vary by source.</x:v>
      </x:c>
      <x:c r="H58" s="43" t="str">
        <x:v>Collective identity, efficacy, emotion, moral conviction, and threat show differentiated associations with collective action.</x:v>
      </x:c>
      <x:c r="I58" s="43" t="str">
        <x:v>Construct- and relationship-specific; see the finding, limitations, and linked Relationships records.</x:v>
      </x:c>
      <x:c r="J58" s="43" t="str">
        <x:v>Most component reviews are observational and culturally uneven; behaviors and movements are heterogeneous.</x:v>
      </x:c>
      <x:c r="K58" s="43" t="str">
        <x:v>Strong</x:v>
      </x:c>
      <x:c r="L58" s="43" t="str">
        <x:v>https://pubmed.ncbi.nlm.nih.gov/37151317/</x:v>
      </x:c>
      <x:c r="M58" s="43" t="str">
        <x:v>Bibliographic metadata and persistent URL were normalized during the 2026-08-25 Layer 2 reconstruction. This is a representative evidence record, not a new formal systematic-review extraction.</x:v>
      </x:c>
    </x:row>
    <x:row r="59" ht="68" customHeight="1">
      <x:c r="A59" s="43" t="str">
        <x:v>SRC161</x:v>
      </x:c>
      <x:c r="B59" s="43" t="str">
        <x:v>PSY-097; PSY-098; PSY-101</x:v>
      </x:c>
      <x:c r="C59" s="43" t="str">
        <x:v>Self-Concept, Identity &amp; Consistency</x:v>
      </x:c>
      <x:c r="D59" s="43" t="str">
        <x:v>van Zomeren, Postmes &amp; Spears (2008) — Toward an integrative social identity model of collective action</x:v>
      </x:c>
      <x:c r="E59" s="43" t="n">
        <x:v>2008</x:v>
      </x:c>
      <x:c r="F59" s="43" t="str">
        <x:v>Meta-analysis and model test</x:v>
      </x:c>
      <x:c r="G59" s="43" t="str">
        <x:v>Populations represented in the included literature; domains, countries, ages, and sampling frames vary by source.</x:v>
      </x:c>
      <x:c r="H59" s="43" t="str">
        <x:v>Identity, efficacy, and injustice-related emotion jointly predict collective action across studies.</x:v>
      </x:c>
      <x:c r="I59" s="43" t="str">
        <x:v>Construct- and relationship-specific; see the finding, limitations, and linked Relationships records.</x:v>
      </x:c>
      <x:c r="J59" s="43" t="str">
        <x:v>Many outcomes are intentions or self-reports; political and cultural contexts differ.</x:v>
      </x:c>
      <x:c r="K59" s="43" t="str">
        <x:v>Strong</x:v>
      </x:c>
      <x:c r="L59" s="43" t="str">
        <x:v>https://doi.org/10.1037/0033-2909.134.4.504</x:v>
      </x:c>
      <x:c r="M59" s="43" t="str">
        <x:v>Bibliographic metadata and persistent URL were normalized during the 2026-08-25 Layer 2 reconstruction. This is a representative evidence record, not a new formal systematic-review extraction.</x:v>
      </x:c>
    </x:row>
    <x:row r="60" ht="68" customHeight="1">
      <x:c r="A60" s="43" t="str">
        <x:v>SRC162</x:v>
      </x:c>
      <x:c r="B60" s="43" t="str">
        <x:v>PSY-059; PSY-114; PSY-129</x:v>
      </x:c>
      <x:c r="C60" s="43" t="str">
        <x:v>Attention &amp; Cognitive Processing; Epistemic Trust &amp; Persuasion; Stable Dispositions &amp; Temperament</x:v>
      </x:c>
      <x:c r="D60" s="43" t="str">
        <x:v>Cacioppo, Petty &amp; Kao (1984) — The efficient assessment of need for cognition</x:v>
      </x:c>
      <x:c r="E60" s="43" t="n">
        <x:v>1984</x:v>
      </x:c>
      <x:c r="F60" s="43" t="str">
        <x:v>Scale-development and validation studies</x:v>
      </x:c>
      <x:c r="G60" s="43" t="str">
        <x:v>Primarily human participant samples in the cited research; consult the source for exact population and sampling details.</x:v>
      </x:c>
      <x:c r="H60" s="43" t="str">
        <x:v>Provides a validated measure of dispositional engagement in and enjoyment of effortful thought.</x:v>
      </x:c>
      <x:c r="I60" s="43" t="str">
        <x:v>Construct- and relationship-specific; see the finding, limitations, and linked Relationships records.</x:v>
      </x:c>
      <x:c r="J60" s="43" t="str">
        <x:v>Self-report trait predicts motivation, not ability or actual elaboration in every setting.</x:v>
      </x:c>
      <x:c r="K60" s="43" t="str">
        <x:v>Strong</x:v>
      </x:c>
      <x:c r="L60" s="43" t="str">
        <x:v>https://doi.org/10.1207/s15327752jpa4803_13</x:v>
      </x:c>
      <x:c r="M60" s="43" t="str">
        <x:v>Bibliographic metadata and persistent URL were normalized during the 2026-08-25 Layer 2 reconstruction. This is a representative evidence record, not a new formal systematic-review extraction.</x:v>
      </x:c>
    </x:row>
    <x:row r="61" ht="68" customHeight="1">
      <x:c r="A61" s="43" t="str">
        <x:v>SRC163</x:v>
      </x:c>
      <x:c r="B61" s="43" t="str">
        <x:v>PSY-038; PSY-039; PSY-106; PSY-107; PSY-126; PSY-127; PSY-128</x:v>
      </x:c>
      <x:c r="C61" s="43" t="str">
        <x:v>Motivation, Goals &amp; Psychological Needs; Agency, Attribution &amp; Moral Judgment; Stable Dispositions &amp; Temperament</x:v>
      </x:c>
      <x:c r="D61" s="43" t="str">
        <x:v>Carver &amp; White (1994) — Behavioral inhibition, behavioral activation, and affective responses</x:v>
      </x:c>
      <x:c r="E61" s="43" t="n">
        <x:v>1994</x:v>
      </x:c>
      <x:c r="F61" s="43" t="str">
        <x:v>Scale-development and validation studies</x:v>
      </x:c>
      <x:c r="G61" s="43" t="str">
        <x:v>Primarily human participant samples in the cited research; consult the source for exact population and sampling details.</x:v>
      </x:c>
      <x:c r="H61" s="43" t="str">
        <x:v>Separates punishment/conflict sensitivity from reward-related activation and approach tendencies.</x:v>
      </x:c>
      <x:c r="I61" s="43" t="str">
        <x:v>Construct- and relationship-specific; see the finding, limitations, and linked Relationships records.</x:v>
      </x:c>
      <x:c r="J61" s="43" t="str">
        <x:v>BIS/BAS scales do not exhaust temperament and factor structures vary across versions and populations.</x:v>
      </x:c>
      <x:c r="K61" s="43" t="str">
        <x:v>Strong</x:v>
      </x:c>
      <x:c r="L61" s="43" t="str">
        <x:v>https://doi.org/10.1037/0022-3514.67.2.319</x:v>
      </x:c>
      <x:c r="M61" s="43" t="str">
        <x:v>Bibliographic metadata and persistent URL were normalized during the 2026-08-25 Layer 2 reconstruction. This is a representative evidence record, not a new formal systematic-review extraction.</x:v>
      </x:c>
    </x:row>
    <x:row r="62" ht="68" customHeight="1">
      <x:c r="A62" s="43" t="str">
        <x:v>SRC164</x:v>
      </x:c>
      <x:c r="B62" s="43" t="str">
        <x:v>PSY-110; PSY-111</x:v>
      </x:c>
      <x:c r="C62" s="43" t="str">
        <x:v>Agency, Attribution &amp; Moral Judgment</x:v>
      </x:c>
      <x:c r="D62" s="43" t="str">
        <x:v>Skitka (2010) — The psychology of moral conviction</x:v>
      </x:c>
      <x:c r="E62" s="43" t="n">
        <x:v>2010</x:v>
      </x:c>
      <x:c r="F62" s="43" t="str">
        <x:v>Authoritative review</x:v>
      </x:c>
      <x:c r="G62" s="43" t="str">
        <x:v>Populations represented in the included literature; domains, countries, ages, and sampling frames vary by source.</x:v>
      </x:c>
      <x:c r="H62" s="43" t="str">
        <x:v>Moral conviction predicts certainty, intolerance of compromise, procedural reactions, and willingness to act.</x:v>
      </x:c>
      <x:c r="I62" s="43" t="str">
        <x:v>Construct- and relationship-specific; see the finding, limitations, and linked Relationships records.</x:v>
      </x:c>
      <x:c r="J62" s="43" t="str">
        <x:v>Moral content varies; conviction strength does not establish factual accuracy or ethical correctness.</x:v>
      </x:c>
      <x:c r="K62" s="43" t="str">
        <x:v>Strong</x:v>
      </x:c>
      <x:c r="L62" s="43" t="str">
        <x:v>https://doi.org/10.1111/j.1751-9004.2010.00254.x</x:v>
      </x:c>
      <x:c r="M62" s="43" t="str">
        <x:v>Bibliographic metadata and persistent URL were normalized during the 2026-08-25 Layer 2 reconstruction. This is a representative evidence record, not a new formal systematic-review extraction.</x:v>
      </x:c>
    </x:row>
    <x:row r="63" ht="68" customHeight="1">
      <x:c r="A63" s="43" t="str">
        <x:v>SRC165</x:v>
      </x:c>
      <x:c r="B63" s="43" t="str">
        <x:v>PSY-112</x:v>
      </x:c>
      <x:c r="C63" s="43" t="str">
        <x:v>Agency, Attribution &amp; Moral Judgment</x:v>
      </x:c>
      <x:c r="D63" s="43" t="str">
        <x:v>Schwartz (1992) — Universals in the content and structure of values</x:v>
      </x:c>
      <x:c r="E63" s="43" t="n">
        <x:v>1992</x:v>
      </x:c>
      <x:c r="F63" s="43" t="str">
        <x:v>Cross-cultural theory and empirical program</x:v>
      </x:c>
      <x:c r="G63" s="43" t="str">
        <x:v>Primarily human participant samples in the cited research; consult the source for exact population and sampling details.</x:v>
      </x:c>
      <x:c r="H63" s="43" t="str">
        <x:v>Values form a structured motivational system in which relative priorities guide goals and tradeoffs.</x:v>
      </x:c>
      <x:c r="I63" s="43" t="str">
        <x:v>Construct- and relationship-specific; see the finding, limitations, and linked Relationships records.</x:v>
      </x:c>
      <x:c r="J63" s="43" t="str">
        <x:v>Value measures are ipsative or interdependent and show cultural and method sensitivity.</x:v>
      </x:c>
      <x:c r="K63" s="43" t="str">
        <x:v>Strong</x:v>
      </x:c>
      <x:c r="L63" s="43" t="str">
        <x:v>https://doi.org/10.1016/S0065-2601(08)60281-6</x:v>
      </x:c>
      <x:c r="M63" s="43" t="str">
        <x:v>Bibliographic metadata and persistent URL were normalized during the 2026-08-25 Layer 2 reconstruction. This is a representative evidence record, not a new formal systematic-review extraction.</x:v>
      </x:c>
    </x:row>
    <x:row r="64" ht="68" customHeight="1">
      <x:c r="A64" s="43" t="str">
        <x:v>SRC166</x:v>
      </x:c>
      <x:c r="B64" s="43" t="str">
        <x:v>PSY-118</x:v>
      </x:c>
      <x:c r="C64" s="43" t="str">
        <x:v>Epistemic Trust &amp; Persuasion</x:v>
      </x:c>
      <x:c r="D64" s="43" t="str">
        <x:v>Fonagy &amp; Allison (2014) — The role of mentalizing and epistemic trust in the therapeutic relationship</x:v>
      </x:c>
      <x:c r="E64" s="43" t="n">
        <x:v>2014</x:v>
      </x:c>
      <x:c r="F64" s="43" t="str">
        <x:v>Theory review</x:v>
      </x:c>
      <x:c r="G64" s="43" t="str">
        <x:v>Populations represented in the included literature; domains, countries, ages, and sampling frames vary by source.</x:v>
      </x:c>
      <x:c r="H64" s="43" t="str">
        <x:v>Epistemic trust supports openness to socially communicated knowledge and its generalization.</x:v>
      </x:c>
      <x:c r="I64" s="43" t="str">
        <x:v>Construct- and relationship-specific; see the finding, limitations, and linked Relationships records.</x:v>
      </x:c>
      <x:c r="J64" s="43" t="str">
        <x:v>Clinical and developmental origins; measurement and transfer to nonclinical information settings remain developing.</x:v>
      </x:c>
      <x:c r="K64" s="43" t="str">
        <x:v>Emerging</x:v>
      </x:c>
      <x:c r="L64" s="43" t="str">
        <x:v>https://doi.org/10.1159/000366497</x:v>
      </x:c>
      <x:c r="M64" s="43" t="str">
        <x:v>Bibliographic metadata and persistent URL were normalized during the 2026-08-25 Layer 2 reconstruction. This is a representative evidence record, not a new formal systematic-review extraction.</x:v>
      </x:c>
    </x:row>
    <x:row r="65" ht="68" customHeight="1">
      <x:c r="A65" s="43" t="str">
        <x:v>SRC167</x:v>
      </x:c>
      <x:c r="B65" s="43" t="str">
        <x:v>PSY-119</x:v>
      </x:c>
      <x:c r="C65" s="43" t="str">
        <x:v>Epistemic Trust &amp; Persuasion</x:v>
      </x:c>
      <x:c r="D65" s="43" t="str">
        <x:v>Griffin, Dunwoody &amp; Neuwirth (1999) — Proposed model of the relationship of risk information seeking and processing to the development of preventive behaviors</x:v>
      </x:c>
      <x:c r="E65" s="43" t="n">
        <x:v>1999</x:v>
      </x:c>
      <x:c r="F65" s="43" t="str">
        <x:v>Theory and empirical model</x:v>
      </x:c>
      <x:c r="G65" s="43" t="str">
        <x:v>Primarily human participant samples in the cited research; consult the source for exact population and sampling details.</x:v>
      </x:c>
      <x:c r="H65" s="43" t="str">
        <x:v>Perceived information sufficiency and information gaps help regulate risk-information search and processing.</x:v>
      </x:c>
      <x:c r="I65" s="43" t="str">
        <x:v>Construct- and relationship-specific; see the finding, limitations, and linked Relationships records.</x:v>
      </x:c>
      <x:c r="J65" s="43" t="str">
        <x:v>Risk-communication domain; self-report search and cross-sectional paths limit causal inference.</x:v>
      </x:c>
      <x:c r="K65" s="43" t="str">
        <x:v>Moderate</x:v>
      </x:c>
      <x:c r="L65" s="43" t="str">
        <x:v>https://doi.org/10.1177/009365099026002003</x:v>
      </x:c>
      <x:c r="M65" s="43" t="str">
        <x:v>Bibliographic metadata and persistent URL were normalized during the 2026-08-25 Layer 2 reconstruction. This is a representative evidence record, not a new formal systematic-review extraction.</x:v>
      </x:c>
    </x:row>
    <x:row r="66" ht="68" customHeight="1">
      <x:c r="A66" s="43" t="str">
        <x:v>SRC168</x:v>
      </x:c>
      <x:c r="B66" s="43" t="str">
        <x:v>PSY-003; PSY-116</x:v>
      </x:c>
      <x:c r="C66" s="43" t="str">
        <x:v>Beliefs, Attitudes &amp; Outcome Expectancies; Epistemic Trust &amp; Persuasion</x:v>
      </x:c>
      <x:c r="D66" s="43" t="str">
        <x:v>Moore &amp; Healy (2008) — The trouble with overconfidence</x:v>
      </x:c>
      <x:c r="E66" s="43" t="n">
        <x:v>2008</x:v>
      </x:c>
      <x:c r="F66" s="43" t="str">
        <x:v>Theory review and experimental synthesis</x:v>
      </x:c>
      <x:c r="G66" s="43" t="str">
        <x:v>Populations represented in the included literature; domains, countries, ages, and sampling frames vary by source.</x:v>
      </x:c>
      <x:c r="H66" s="43" t="str">
        <x:v>Overestimation, overplacement, and overprecision are distinct forms of confidence error with different conditions.</x:v>
      </x:c>
      <x:c r="I66" s="43" t="str">
        <x:v>Construct- and relationship-specific; see the finding, limitations, and linked Relationships records.</x:v>
      </x:c>
      <x:c r="J66" s="43" t="str">
        <x:v>Task difficulty and comparison structure strongly moderate effects.</x:v>
      </x:c>
      <x:c r="K66" s="43" t="str">
        <x:v>Strong</x:v>
      </x:c>
      <x:c r="L66" s="43" t="str">
        <x:v>https://doi.org/10.1037/0033-295X.115.2.502</x:v>
      </x:c>
      <x:c r="M66" s="43" t="str">
        <x:v>Bibliographic metadata and persistent URL were normalized during the 2026-08-25 Layer 2 reconstruction. This is a representative evidence record, not a new formal systematic-review extraction.</x:v>
      </x:c>
    </x:row>
    <x:row r="67" ht="68" customHeight="1">
      <x:c r="A67" s="43" t="str">
        <x:v>SRC169</x:v>
      </x:c>
      <x:c r="B67" s="43" t="str">
        <x:v>PSY-003; PSY-068; PSY-116</x:v>
      </x:c>
      <x:c r="C67" s="43" t="str">
        <x:v>Beliefs, Attitudes &amp; Outcome Expectancies; Knowledge, Memory &amp; Mental Representation; Epistemic Trust &amp; Persuasion</x:v>
      </x:c>
      <x:c r="D67" s="43" t="str">
        <x:v>Koriat (2012) — The self-consistency model of subjective confidence</x:v>
      </x:c>
      <x:c r="E67" s="43" t="n">
        <x:v>2012</x:v>
      </x:c>
      <x:c r="F67" s="43" t="str">
        <x:v>Theory and experimental synthesis</x:v>
      </x:c>
      <x:c r="G67" s="43" t="str">
        <x:v>Primarily human participant samples in the cited research; consult the source for exact population and sampling details.</x:v>
      </x:c>
      <x:c r="H67" s="43" t="str">
        <x:v>Confidence reflects consistency among sampled representations and can diverge systematically from accuracy.</x:v>
      </x:c>
      <x:c r="I67" s="43" t="str">
        <x:v>Construct- and relationship-specific; see the finding, limitations, and linked Relationships records.</x:v>
      </x:c>
      <x:c r="J67" s="43" t="str">
        <x:v>Model applies to specific judgment paradigms; alternative metacognitive models also have support.</x:v>
      </x:c>
      <x:c r="K67" s="43" t="str">
        <x:v>Moderate</x:v>
      </x:c>
      <x:c r="L67" s="43" t="str">
        <x:v>https://doi.org/10.1037/a0025648</x:v>
      </x:c>
      <x:c r="M67" s="43" t="str">
        <x:v>Bibliographic metadata and persistent URL were normalized during the 2026-08-25 Layer 2 reconstruction. This is a representative evidence record, not a new formal systematic-review extraction.</x:v>
      </x:c>
    </x:row>
    <x:row r="68" ht="68" customHeight="1">
      <x:c r="A68" s="43" t="str">
        <x:v>SRC170</x:v>
      </x:c>
      <x:c r="B68" s="43" t="str">
        <x:v>PSY-016; PSY-018</x:v>
      </x:c>
      <x:c r="C68" s="43" t="str">
        <x:v>Normative &amp; Relational Perceptions</x:v>
      </x:c>
      <x:c r="D68" s="43" t="str">
        <x:v>van de Bongardt et al. (2015) — A meta-analysis of the relations between three types of peer norms and adolescent sexual behavior</x:v>
      </x:c>
      <x:c r="E68" s="43" t="n">
        <x:v>2015</x:v>
      </x:c>
      <x:c r="F68" s="43" t="str">
        <x:v>Meta-analysis</x:v>
      </x:c>
      <x:c r="G68" s="43" t="str">
        <x:v>Populations represented in the included literature; domains, countries, ages, and sampling frames vary by source.</x:v>
      </x:c>
      <x:c r="H68" s="43" t="str">
        <x:v>Descriptive, injunctive, and peer-pressure norms show distinct associations with behavior.</x:v>
      </x:c>
      <x:c r="I68" s="43" t="str">
        <x:v>Construct- and relationship-specific; see the finding, limitations, and linked Relationships records.</x:v>
      </x:c>
      <x:c r="J68" s="43" t="str">
        <x:v>Adolescent sexual-behavior context; observational association dominates.</x:v>
      </x:c>
      <x:c r="K68" s="43" t="str">
        <x:v>Strong</x:v>
      </x:c>
      <x:c r="L68" s="43" t="str">
        <x:v>https://pubmed.ncbi.nlm.nih.gov/25217363/</x:v>
      </x:c>
      <x:c r="M68" s="43" t="str">
        <x:v>Bibliographic metadata and persistent URL were normalized during the 2026-08-25 Layer 2 reconstruction. This is a representative evidence record, not a new formal systematic-review extraction.</x:v>
      </x:c>
    </x:row>
    <x:row r="69" ht="68" customHeight="1">
      <x:c r="A69" s="43" t="str">
        <x:v>SRC171</x:v>
      </x:c>
      <x:c r="B69" s="43" t="str">
        <x:v>PSY-061; PSY-067</x:v>
      </x:c>
      <x:c r="C69" s="43" t="str">
        <x:v>Attention &amp; Cognitive Processing; Knowledge, Memory &amp; Mental Representation</x:v>
      </x:c>
      <x:c r="D69" s="43" t="str">
        <x:v>Alter et al. (2009) — Overcoming intuition: metacognitive difficulty activates analytic reasoning</x:v>
      </x:c>
      <x:c r="E69" s="43" t="n">
        <x:v>2009</x:v>
      </x:c>
      <x:c r="F69" s="43" t="str">
        <x:v>Experimental studies</x:v>
      </x:c>
      <x:c r="G69" s="43" t="str">
        <x:v>Primarily human participant samples in the cited research; consult the source for exact population and sampling details.</x:v>
      </x:c>
      <x:c r="H69" s="43" t="str">
        <x:v>Experienced disfluency can increase analytic processing under some conditions.</x:v>
      </x:c>
      <x:c r="I69" s="43" t="str">
        <x:v>Construct- and relationship-specific; see the finding, limitations, and linked Relationships records.</x:v>
      </x:c>
      <x:c r="J69" s="43" t="str">
        <x:v>Fluency manipulations and replication contexts vary; direction depends on attribution and task.</x:v>
      </x:c>
      <x:c r="K69" s="43" t="str">
        <x:v>Moderate</x:v>
      </x:c>
      <x:c r="L69" s="43" t="str">
        <x:v>https://pubmed.ncbi.nlm.nih.gov/19638628/</x:v>
      </x:c>
      <x:c r="M69" s="43" t="str">
        <x:v>Bibliographic metadata and persistent URL were normalized during the 2026-08-25 Layer 2 reconstruction. This is a representative evidence record, not a new formal systematic-review extraction.</x:v>
      </x:c>
    </x:row>
    <x:row r="70" ht="68" customHeight="1">
      <x:c r="A70" s="43" t="str">
        <x:v>SRC172</x:v>
      </x:c>
      <x:c r="B70" s="43" t="str">
        <x:v>PSY-024</x:v>
      </x:c>
      <x:c r="C70" s="43" t="str">
        <x:v>Normative &amp; Relational Perceptions</x:v>
      </x:c>
      <x:c r="D70" s="43" t="str">
        <x:v>Williams (2009) — Ostracism: a temporal need-threat model</x:v>
      </x:c>
      <x:c r="E70" s="43" t="n">
        <x:v>2009</x:v>
      </x:c>
      <x:c r="F70" s="43" t="str">
        <x:v>Authoritative review</x:v>
      </x:c>
      <x:c r="G70" s="43" t="str">
        <x:v>Populations represented in the included literature; domains, countries, ages, and sampling frames vary by source.</x:v>
      </x:c>
      <x:c r="H70" s="43" t="str">
        <x:v>Perceived exclusion threatens belonging, control, self-esteem, and meaningful existence and produces time-dependent responses.</x:v>
      </x:c>
      <x:c r="I70" s="43" t="str">
        <x:v>Construct- and relationship-specific; see the finding, limitations, and linked Relationships records.</x:v>
      </x:c>
      <x:c r="J70" s="43" t="str">
        <x:v>Laboratory ostracism paradigms and natural exclusion differ; responses vary by context and duration.</x:v>
      </x:c>
      <x:c r="K70" s="43" t="str">
        <x:v>Strong</x:v>
      </x:c>
      <x:c r="L70" s="43" t="str">
        <x:v>https://doi.org/10.1146/annurev.psych.60.110707.163506</x:v>
      </x:c>
      <x:c r="M70" s="43" t="str">
        <x:v>Bibliographic metadata and persistent URL were normalized during the 2026-08-25 Layer 2 reconstruction. This is a representative evidence record, not a new formal systematic-review extraction.</x:v>
      </x:c>
    </x:row>
    <x:row r="71" ht="68" customHeight="1">
      <x:c r="A71" s="43" t="str">
        <x:v>SRC173</x:v>
      </x:c>
      <x:c r="B71" s="43" t="str">
        <x:v>PSY-025</x:v>
      </x:c>
      <x:c r="C71" s="43" t="str">
        <x:v>Normative &amp; Relational Perceptions</x:v>
      </x:c>
      <x:c r="D71" s="43" t="str">
        <x:v>Cundiff &amp; Matthews (2017) — Is subjective social status a unique correlate of physical health?</x:v>
      </x:c>
      <x:c r="E71" s="43" t="n">
        <x:v>2017</x:v>
      </x:c>
      <x:c r="F71" s="43" t="str">
        <x:v>Meta-analysis</x:v>
      </x:c>
      <x:c r="G71" s="43" t="str">
        <x:v>Populations represented in the included literature; domains, countries, ages, and sampling frames vary by source.</x:v>
      </x:c>
      <x:c r="H71" s="43" t="str">
        <x:v>Subjective status shows associations with health beyond objective status in included samples.</x:v>
      </x:c>
      <x:c r="I71" s="43" t="str">
        <x:v>Construct- and relationship-specific; see the finding, limitations, and linked Relationships records.</x:v>
      </x:c>
      <x:c r="J71" s="43" t="str">
        <x:v>Health outcomes do not directly establish behavioral mechanisms; racial and measurement moderators matter.</x:v>
      </x:c>
      <x:c r="K71" s="43" t="str">
        <x:v>Moderate</x:v>
      </x:c>
      <x:c r="L71" s="43" t="str">
        <x:v>https://pubmed.ncbi.nlm.nih.gov/28726474/</x:v>
      </x:c>
      <x:c r="M71" s="43" t="str">
        <x:v>Bibliographic metadata and persistent URL were normalized during the 2026-08-25 Layer 2 reconstruction. This is a representative evidence record, not a new formal systematic-review extraction.</x:v>
      </x:c>
    </x:row>
    <x:row r="72" ht="68" customHeight="1">
      <x:c r="A72" s="43" t="str">
        <x:v>SRC174</x:v>
      </x:c>
      <x:c r="B72" s="43" t="str">
        <x:v>PSY-026</x:v>
      </x:c>
      <x:c r="C72" s="43" t="str">
        <x:v>Motivation, Goals &amp; Psychological Needs</x:v>
      </x:c>
      <x:c r="D72" s="43" t="str">
        <x:v>Rhodes et al. (2022) — Intention–behavior gap in physical activity: systematic review and meta-analysis</x:v>
      </x:c>
      <x:c r="E72" s="43" t="n">
        <x:v>2022</x:v>
      </x:c>
      <x:c r="F72" s="43" t="str">
        <x:v>Systematic review and meta-analysis</x:v>
      </x:c>
      <x:c r="G72" s="43" t="str">
        <x:v>Populations represented in the included literature; domains, countries, ages, and sampling frames vary by source.</x:v>
      </x:c>
      <x:c r="H72" s="43" t="str">
        <x:v>Strong intentions increase action probability but a substantial intention–behavior gap remains.</x:v>
      </x:c>
      <x:c r="I72" s="43" t="str">
        <x:v>Construct- and relationship-specific; see the finding, limitations, and linked Relationships records.</x:v>
      </x:c>
      <x:c r="J72" s="43" t="str">
        <x:v>Physical-activity focus; intention and behavior measures and follow-up periods vary.</x:v>
      </x:c>
      <x:c r="K72" s="43" t="str">
        <x:v>Strong</x:v>
      </x:c>
      <x:c r="L72" s="43" t="str">
        <x:v>https://pubmed.ncbi.nlm.nih.gov/34231844/</x:v>
      </x:c>
      <x:c r="M72" s="43" t="str">
        <x:v>Bibliographic metadata and persistent URL were normalized during the 2026-08-25 Layer 2 reconstruction. This is a representative evidence record, not a new formal systematic-review extraction.</x:v>
      </x:c>
    </x:row>
    <x:row r="73" ht="68" customHeight="1">
      <x:c r="A73" s="43" t="str">
        <x:v>SRC175</x:v>
      </x:c>
      <x:c r="B73" s="43" t="str">
        <x:v>PSY-041</x:v>
      </x:c>
      <x:c r="C73" s="43" t="str">
        <x:v>Affect &amp; Emotion</x:v>
      </x:c>
      <x:c r="D73" s="43" t="str">
        <x:v>Witte &amp; Allen (2000) — A meta-analysis of fear appeals</x:v>
      </x:c>
      <x:c r="E73" s="43" t="n">
        <x:v>2000</x:v>
      </x:c>
      <x:c r="F73" s="43" t="str">
        <x:v>Meta-analysis</x:v>
      </x:c>
      <x:c r="G73" s="43" t="str">
        <x:v>Populations represented in the included literature; domains, countries, ages, and sampling frames vary by source.</x:v>
      </x:c>
      <x:c r="H73" s="43" t="str">
        <x:v>Fear appeals are more effective when threat and efficacy information jointly support danger control.</x:v>
      </x:c>
      <x:c r="I73" s="43" t="str">
        <x:v>Construct- and relationship-specific; see the finding, limitations, and linked Relationships records.</x:v>
      </x:c>
      <x:c r="J73" s="43" t="str">
        <x:v>Messages, behaviors, and operationalizations vary; high threat without efficacy can backfire.</x:v>
      </x:c>
      <x:c r="K73" s="43" t="str">
        <x:v>Strong</x:v>
      </x:c>
      <x:c r="L73" s="43" t="str">
        <x:v>https://pubmed.ncbi.nlm.nih.gov/11009129/</x:v>
      </x:c>
      <x:c r="M73" s="43" t="str">
        <x:v>Bibliographic metadata and persistent URL were normalized during the 2026-08-25 Layer 2 reconstruction. This is a representative evidence record, not a new formal systematic-review extraction.</x:v>
      </x:c>
    </x:row>
    <x:row r="74" ht="68" customHeight="1">
      <x:c r="A74" s="43" t="str">
        <x:v>SRC176</x:v>
      </x:c>
      <x:c r="B74" s="43" t="str">
        <x:v>PSY-043</x:v>
      </x:c>
      <x:c r="C74" s="43" t="str">
        <x:v>Affect &amp; Emotion</x:v>
      </x:c>
      <x:c r="D74" s="43" t="str">
        <x:v>Lerner &amp; Keltner (2001) — Fear, anger, and risk</x:v>
      </x:c>
      <x:c r="E74" s="43" t="n">
        <x:v>2001</x:v>
      </x:c>
      <x:c r="F74" s="43" t="str">
        <x:v>Experimental and correlational studies</x:v>
      </x:c>
      <x:c r="G74" s="43" t="str">
        <x:v>Primarily human participant samples in the cited research; consult the source for exact population and sampling details.</x:v>
      </x:c>
      <x:c r="H74" s="43" t="str">
        <x:v>Fear and anger produce different certainty/control appraisals and different risk judgments.</x:v>
      </x:c>
      <x:c r="I74" s="43" t="str">
        <x:v>Construct- and relationship-specific; see the finding, limitations, and linked Relationships records.</x:v>
      </x:c>
      <x:c r="J74" s="43" t="str">
        <x:v>Appraisal-tendency effects are conditional and not universal across decisions.</x:v>
      </x:c>
      <x:c r="K74" s="43" t="str">
        <x:v>Strong</x:v>
      </x:c>
      <x:c r="L74" s="43" t="str">
        <x:v>https://doi.org/10.1037/0022-3514.81.1.146</x:v>
      </x:c>
      <x:c r="M74" s="43" t="str">
        <x:v>Bibliographic metadata and persistent URL were normalized during the 2026-08-25 Layer 2 reconstruction. This is a representative evidence record, not a new formal systematic-review extraction.</x:v>
      </x:c>
    </x:row>
    <x:row r="75" ht="68" customHeight="1">
      <x:c r="A75" s="43" t="str">
        <x:v>SRC177</x:v>
      </x:c>
      <x:c r="B75" s="43" t="str">
        <x:v>PSY-044</x:v>
      </x:c>
      <x:c r="C75" s="43" t="str">
        <x:v>Affect &amp; Emotion</x:v>
      </x:c>
      <x:c r="D75" s="43" t="str">
        <x:v>Chapman &amp; Anderson (2013) — Things rank and gross in nature: a review and synthesis of moral disgust</x:v>
      </x:c>
      <x:c r="E75" s="43" t="n">
        <x:v>2013</x:v>
      </x:c>
      <x:c r="F75" s="43" t="str">
        <x:v>Authoritative review</x:v>
      </x:c>
      <x:c r="G75" s="43" t="str">
        <x:v>Populations represented in the included literature; domains, countries, ages, and sampling frames vary by source.</x:v>
      </x:c>
      <x:c r="H75" s="43" t="str">
        <x:v>Disgust contributes to avoidance and moralized judgment but its role differs across elicitors and measures.</x:v>
      </x:c>
      <x:c r="I75" s="43" t="str">
        <x:v>Construct- and relationship-specific; see the finding, limitations, and linked Relationships records.</x:v>
      </x:c>
      <x:c r="J75" s="43" t="str">
        <x:v>Moral-disgust effects are debated and can reflect anger, norm violation, or language conventions.</x:v>
      </x:c>
      <x:c r="K75" s="43" t="str">
        <x:v>Mixed</x:v>
      </x:c>
      <x:c r="L75" s="43" t="str">
        <x:v>https://pubmed.ncbi.nlm.nih.gov/23231569/</x:v>
      </x:c>
      <x:c r="M75" s="43" t="str">
        <x:v>Bibliographic metadata and persistent URL were normalized during the 2026-08-25 Layer 2 reconstruction. This is a representative evidence record, not a new formal systematic-review extraction.</x:v>
      </x:c>
    </x:row>
    <x:row r="76" ht="68" customHeight="1">
      <x:c r="A76" s="43" t="str">
        <x:v>SRC178</x:v>
      </x:c>
      <x:c r="B76" s="43" t="str">
        <x:v>PSY-045; PSY-046</x:v>
      </x:c>
      <x:c r="C76" s="43" t="str">
        <x:v>Affect &amp; Emotion</x:v>
      </x:c>
      <x:c r="D76" s="43" t="str">
        <x:v>Tangney, Stuewig &amp; Mashek (2007) — Moral emotions and moral behavior</x:v>
      </x:c>
      <x:c r="E76" s="43" t="n">
        <x:v>2007</x:v>
      </x:c>
      <x:c r="F76" s="43" t="str">
        <x:v>Authoritative review</x:v>
      </x:c>
      <x:c r="G76" s="43" t="str">
        <x:v>Populations represented in the included literature; domains, countries, ages, and sampling frames vary by source.</x:v>
      </x:c>
      <x:c r="H76" s="43" t="str">
        <x:v>Guilt and shame have distinct self-versus-behavior appraisals and different behavioral correlates.</x:v>
      </x:c>
      <x:c r="I76" s="43" t="str">
        <x:v>Construct- and relationship-specific; see the finding, limitations, and linked Relationships records.</x:v>
      </x:c>
      <x:c r="J76" s="43" t="str">
        <x:v>Trait-proneness and event-specific states differ; cultures and eliciting contexts matter.</x:v>
      </x:c>
      <x:c r="K76" s="43" t="str">
        <x:v>Strong</x:v>
      </x:c>
      <x:c r="L76" s="43" t="str">
        <x:v>https://pubmed.ncbi.nlm.nih.gov/17576262/</x:v>
      </x:c>
      <x:c r="M76" s="43" t="str">
        <x:v>Bibliographic metadata and persistent URL were normalized during the 2026-08-25 Layer 2 reconstruction. This is a representative evidence record, not a new formal systematic-review extraction.</x:v>
      </x:c>
    </x:row>
    <x:row r="77" ht="68" customHeight="1">
      <x:c r="A77" s="43" t="str">
        <x:v>SRC179</x:v>
      </x:c>
      <x:c r="B77" s="43" t="str">
        <x:v>PSY-048</x:v>
      </x:c>
      <x:c r="C77" s="43" t="str">
        <x:v>Affect &amp; Emotion</x:v>
      </x:c>
      <x:c r="D77" s="43" t="str">
        <x:v>Snyder (2002) — Hope theory: rainbows in the mind</x:v>
      </x:c>
      <x:c r="E77" s="43" t="n">
        <x:v>2002</x:v>
      </x:c>
      <x:c r="F77" s="43" t="str">
        <x:v>Authoritative theory review</x:v>
      </x:c>
      <x:c r="G77" s="43" t="str">
        <x:v>Populations represented in the included literature; domains, countries, ages, and sampling frames vary by source.</x:v>
      </x:c>
      <x:c r="H77" s="43" t="str">
        <x:v>Hope is represented through goal-related agency and pathways and is associated with persistence and coping.</x:v>
      </x:c>
      <x:c r="I77" s="43" t="str">
        <x:v>Construct- and relationship-specific; see the finding, limitations, and linked Relationships records.</x:v>
      </x:c>
      <x:c r="J77" s="43" t="str">
        <x:v>Hope theory mixes cognition and affect; measures are not pure state-emotion indicators.</x:v>
      </x:c>
      <x:c r="K77" s="43" t="str">
        <x:v>Moderate</x:v>
      </x:c>
      <x:c r="L77" s="43" t="str">
        <x:v>https://doi.org/10.1207/S15327965PLI1304_01</x:v>
      </x:c>
      <x:c r="M77" s="43" t="str">
        <x:v>Bibliographic metadata and persistent URL were normalized during the 2026-08-25 Layer 2 reconstruction. This is a representative evidence record, not a new formal systematic-review extraction.</x:v>
      </x:c>
    </x:row>
    <x:row r="78" ht="68" customHeight="1">
      <x:c r="A78" s="43" t="str">
        <x:v>SRC180</x:v>
      </x:c>
      <x:c r="B78" s="43" t="str">
        <x:v>PSY-049</x:v>
      </x:c>
      <x:c r="C78" s="43" t="str">
        <x:v>Affect &amp; Emotion</x:v>
      </x:c>
      <x:c r="D78" s="43" t="str">
        <x:v>Tracy &amp; Robins (2007) — The psychological structure of pride</x:v>
      </x:c>
      <x:c r="E78" s="43" t="n">
        <x:v>2007</x:v>
      </x:c>
      <x:c r="F78" s="43" t="str">
        <x:v>Scale-development and experimental studies</x:v>
      </x:c>
      <x:c r="G78" s="43" t="str">
        <x:v>Primarily human participant samples in the cited research; consult the source for exact population and sampling details.</x:v>
      </x:c>
      <x:c r="H78" s="43" t="str">
        <x:v>Authentic and hubristic pride are empirically distinguishable and show different antecedents and correlates.</x:v>
      </x:c>
      <x:c r="I78" s="43" t="str">
        <x:v>Construct- and relationship-specific; see the finding, limitations, and linked Relationships records.</x:v>
      </x:c>
      <x:c r="J78" s="43" t="str">
        <x:v>Trait and state versions differ; cultural display and self-report concerns apply.</x:v>
      </x:c>
      <x:c r="K78" s="43" t="str">
        <x:v>Moderate</x:v>
      </x:c>
      <x:c r="L78" s="43" t="str">
        <x:v>https://pubmed.ncbi.nlm.nih.gov/17352607/</x:v>
      </x:c>
      <x:c r="M78" s="43" t="str">
        <x:v>Bibliographic metadata and persistent URL were normalized during the 2026-08-25 Layer 2 reconstruction. This is a representative evidence record, not a new formal systematic-review extraction.</x:v>
      </x:c>
    </x:row>
    <x:row r="79" ht="68" customHeight="1">
      <x:c r="A79" s="43" t="str">
        <x:v>SRC181</x:v>
      </x:c>
      <x:c r="B79" s="43" t="str">
        <x:v>PSY-052</x:v>
      </x:c>
      <x:c r="C79" s="43" t="str">
        <x:v>Affect &amp; Emotion</x:v>
      </x:c>
      <x:c r="D79" s="43" t="str">
        <x:v>Berkowitz (1989) — Frustration–aggression hypothesis: examination and reformulation</x:v>
      </x:c>
      <x:c r="E79" s="43" t="n">
        <x:v>1989</x:v>
      </x:c>
      <x:c r="F79" s="43" t="str">
        <x:v>Authoritative review</x:v>
      </x:c>
      <x:c r="G79" s="43" t="str">
        <x:v>Populations represented in the included literature; domains, countries, ages, and sampling frames vary by source.</x:v>
      </x:c>
      <x:c r="H79" s="43" t="str">
        <x:v>Aversive goal blockage can create negative affect and aggressive readiness, moderated by cues and interpretation.</x:v>
      </x:c>
      <x:c r="I79" s="43" t="str">
        <x:v>Construct- and relationship-specific; see the finding, limitations, and linked Relationships records.</x:v>
      </x:c>
      <x:c r="J79" s="43" t="str">
        <x:v>Frustration does not inevitably cause aggression; alternative coping and attribution are central.</x:v>
      </x:c>
      <x:c r="K79" s="43" t="str">
        <x:v>Moderate</x:v>
      </x:c>
      <x:c r="L79" s="43" t="str">
        <x:v>https://doi.org/10.1037/0033-2909.106.1.59</x:v>
      </x:c>
      <x:c r="M79" s="43" t="str">
        <x:v>Bibliographic metadata and persistent URL were normalized during the 2026-08-25 Layer 2 reconstruction. This is a representative evidence record, not a new formal systematic-review extraction.</x:v>
      </x:c>
    </x:row>
    <x:row r="80" ht="68" customHeight="1">
      <x:c r="A80" s="43" t="str">
        <x:v>SRC182</x:v>
      </x:c>
      <x:c r="B80" s="43" t="str">
        <x:v>PSY-053</x:v>
      </x:c>
      <x:c r="C80" s="43" t="str">
        <x:v>Affect &amp; Emotion</x:v>
      </x:c>
      <x:c r="D80" s="43" t="str">
        <x:v>Eisenberg &amp; Miller (1987) — The relation of empathy to prosocial and related behaviors</x:v>
      </x:c>
      <x:c r="E80" s="43" t="n">
        <x:v>1987</x:v>
      </x:c>
      <x:c r="F80" s="43" t="str">
        <x:v>Meta-analytic review</x:v>
      </x:c>
      <x:c r="G80" s="43" t="str">
        <x:v>Populations represented in the included literature; domains, countries, ages, and sampling frames vary by source.</x:v>
      </x:c>
      <x:c r="H80" s="43" t="str">
        <x:v>Empathy-related measures show positive but heterogeneous associations with prosocial behavior.</x:v>
      </x:c>
      <x:c r="I80" s="43" t="str">
        <x:v>Construct- and relationship-specific; see the finding, limitations, and linked Relationships records.</x:v>
      </x:c>
      <x:c r="J80" s="43" t="str">
        <x:v>Empathic concern, personal distress, perspective taking, and measurement method differ.</x:v>
      </x:c>
      <x:c r="K80" s="43" t="str">
        <x:v>Moderate</x:v>
      </x:c>
      <x:c r="L80" s="43" t="str">
        <x:v>https://doi.org/10.1037/0033-2909.101.1.91</x:v>
      </x:c>
      <x:c r="M80" s="43" t="str">
        <x:v>Bibliographic metadata and persistent URL were normalized during the 2026-08-25 Layer 2 reconstruction. This is a representative evidence record, not a new formal systematic-review extraction.</x:v>
      </x:c>
    </x:row>
    <x:row r="81" ht="68" customHeight="1">
      <x:c r="A81" s="43" t="str">
        <x:v>SRC183</x:v>
      </x:c>
      <x:c r="B81" s="43" t="str">
        <x:v>PSY-060</x:v>
      </x:c>
      <x:c r="C81" s="43" t="str">
        <x:v>Attention &amp; Cognitive Processing</x:v>
      </x:c>
      <x:c r="D81" s="43" t="str">
        <x:v>Tversky &amp; Kahneman (1981) — The framing of decisions and the psychology of choice</x:v>
      </x:c>
      <x:c r="E81" s="43" t="n">
        <x:v>1981</x:v>
      </x:c>
      <x:c r="F81" s="43" t="str">
        <x:v>Seminal experiments</x:v>
      </x:c>
      <x:c r="G81" s="43" t="str">
        <x:v>Primarily human participant samples in the cited research; consult the source for exact population and sampling details.</x:v>
      </x:c>
      <x:c r="H81" s="43" t="str">
        <x:v>Equivalent outcomes framed as gains or losses can elicit systematic preference reversals.</x:v>
      </x:c>
      <x:c r="I81" s="43" t="str">
        <x:v>Construct- and relationship-specific; see the finding, limitations, and linked Relationships records.</x:v>
      </x:c>
      <x:c r="J81" s="43" t="str">
        <x:v>Effect size and direction vary by task, wording, numeracy, and replication context.</x:v>
      </x:c>
      <x:c r="K81" s="43" t="str">
        <x:v>Strong</x:v>
      </x:c>
      <x:c r="L81" s="43" t="str">
        <x:v>https://pubmed.ncbi.nlm.nih.gov/7455683/</x:v>
      </x:c>
      <x:c r="M81" s="43" t="str">
        <x:v>Bibliographic metadata and persistent URL were normalized during the 2026-08-25 Layer 2 reconstruction. This is a representative evidence record, not a new formal systematic-review extraction.</x:v>
      </x:c>
    </x:row>
    <x:row r="82" ht="68" customHeight="1">
      <x:c r="A82" s="43" t="str">
        <x:v>SRC184</x:v>
      </x:c>
      <x:c r="B82" s="43" t="str">
        <x:v>PSY-068</x:v>
      </x:c>
      <x:c r="C82" s="43" t="str">
        <x:v>Knowledge, Memory &amp; Mental Representation</x:v>
      </x:c>
      <x:c r="D82" s="43" t="str">
        <x:v>Wixted &amp; Wells (2017) — The relationship between eyewitness confidence and identification accuracy</x:v>
      </x:c>
      <x:c r="E82" s="43" t="n">
        <x:v>2017</x:v>
      </x:c>
      <x:c r="F82" s="43" t="str">
        <x:v>Authoritative review</x:v>
      </x:c>
      <x:c r="G82" s="43" t="str">
        <x:v>Populations represented in the included literature; domains, countries, ages, and sampling frames vary by source.</x:v>
      </x:c>
      <x:c r="H82" s="43" t="str">
        <x:v>Under proper procedures, initial high-confidence identifications can be informative, but confidence is not uniformly diagnostic.</x:v>
      </x:c>
      <x:c r="I82" s="43" t="str">
        <x:v>Construct- and relationship-specific; see the finding, limitations, and linked Relationships records.</x:v>
      </x:c>
      <x:c r="J82" s="43" t="str">
        <x:v>Eyewitness identification context; post-event contamination and procedure strongly matter.</x:v>
      </x:c>
      <x:c r="K82" s="43" t="str">
        <x:v>Moderate</x:v>
      </x:c>
      <x:c r="L82" s="43" t="str">
        <x:v>https://pubmed.ncbi.nlm.nih.gov/28373571/</x:v>
      </x:c>
      <x:c r="M82" s="43" t="str">
        <x:v>Bibliographic metadata and persistent URL were normalized during the 2026-08-25 Layer 2 reconstruction. This is a representative evidence record, not a new formal systematic-review extraction.</x:v>
      </x:c>
    </x:row>
    <x:row r="83" ht="68" customHeight="1">
      <x:c r="A83" s="43" t="str">
        <x:v>SRC185</x:v>
      </x:c>
      <x:c r="B83" s="43" t="str">
        <x:v>PSY-078</x:v>
      </x:c>
      <x:c r="C83" s="43" t="str">
        <x:v>Planning, Self-Regulation &amp; Executive Control</x:v>
      </x:c>
      <x:c r="D83" s="43" t="str">
        <x:v>Carver &amp; Scheier (1982) — Control theory: a useful conceptual framework for personality, social, clinical, and health psychology</x:v>
      </x:c>
      <x:c r="E83" s="43" t="n">
        <x:v>1982</x:v>
      </x:c>
      <x:c r="F83" s="43" t="str">
        <x:v>Foundational theory review</x:v>
      </x:c>
      <x:c r="G83" s="43" t="str">
        <x:v>Populations represented in the included literature; domains, countries, ages, and sampling frames vary by source.</x:v>
      </x:c>
      <x:c r="H83" s="43" t="str">
        <x:v>Goal–state discrepancy and feedback regulate corrective action and persistence.</x:v>
      </x:c>
      <x:c r="I83" s="43" t="str">
        <x:v>Construct- and relationship-specific; see the finding, limitations, and linked Relationships records.</x:v>
      </x:c>
      <x:c r="J83" s="43" t="str">
        <x:v>Abstract control model; empirical instantiations and goal hierarchies vary.</x:v>
      </x:c>
      <x:c r="K83" s="43" t="str">
        <x:v>Strong</x:v>
      </x:c>
      <x:c r="L83" s="43" t="str">
        <x:v>https://doi.org/10.1037/0033-2909.92.1.111</x:v>
      </x:c>
      <x:c r="M83" s="43" t="str">
        <x:v>Bibliographic metadata and persistent URL were normalized during the 2026-08-25 Layer 2 reconstruction. This is a representative evidence record, not a new formal systematic-review extraction.</x:v>
      </x:c>
    </x:row>
    <x:row r="84" ht="68" customHeight="1">
      <x:c r="A84" s="43" t="str">
        <x:v>SRC186</x:v>
      </x:c>
      <x:c r="B84" s="43" t="str">
        <x:v>PSY-081; PSY-082</x:v>
      </x:c>
      <x:c r="C84" s="43" t="str">
        <x:v>Planning, Self-Regulation &amp; Executive Control</x:v>
      </x:c>
      <x:c r="D84" s="43" t="str">
        <x:v>Allom, Mullan &amp; Hagger (2016) — Does inhibitory control training improve health behaviour? A meta-analysis</x:v>
      </x:c>
      <x:c r="E84" s="43" t="n">
        <x:v>2016</x:v>
      </x:c>
      <x:c r="F84" s="43" t="str">
        <x:v>Meta-analysis</x:v>
      </x:c>
      <x:c r="G84" s="43" t="str">
        <x:v>Populations represented in the included literature; domains, countries, ages, and sampling frames vary by source.</x:v>
      </x:c>
      <x:c r="H84" s="43" t="str">
        <x:v>Inhibitory-control training shows small, heterogeneous behavioral effects and uncertain transfer.</x:v>
      </x:c>
      <x:c r="I84" s="43" t="str">
        <x:v>Construct- and relationship-specific; see the finding, limitations, and linked Relationships records.</x:v>
      </x:c>
      <x:c r="J84" s="43" t="str">
        <x:v>Training paradigms and outcomes vary; publication bias and task-specific learning are concerns.</x:v>
      </x:c>
      <x:c r="K84" s="43" t="str">
        <x:v>Moderate</x:v>
      </x:c>
      <x:c r="L84" s="43" t="str">
        <x:v>https://pubmed.ncbi.nlm.nih.gov/26058688/</x:v>
      </x:c>
      <x:c r="M84" s="43" t="str">
        <x:v>Bibliographic metadata and persistent URL were normalized during the 2026-08-25 Layer 2 reconstruction. This is a representative evidence record, not a new formal systematic-review extraction.</x:v>
      </x:c>
    </x:row>
    <x:row r="85" ht="68" customHeight="1">
      <x:c r="A85" s="43" t="str">
        <x:v>SRC187</x:v>
      </x:c>
      <x:c r="B85" s="43" t="str">
        <x:v>PSY-084; PSY-085; PSY-087</x:v>
      </x:c>
      <x:c r="C85" s="43" t="str">
        <x:v>Decision Valuation Across Risk, Time &amp; Effort</x:v>
      </x:c>
      <x:c r="D85" s="43" t="str">
        <x:v>Tversky &amp; Kahneman (1992) — Advances in prospect theory: cumulative representation of uncertainty</x:v>
      </x:c>
      <x:c r="E85" s="43" t="n">
        <x:v>1992</x:v>
      </x:c>
      <x:c r="F85" s="43" t="str">
        <x:v>Seminal theoretical and empirical article</x:v>
      </x:c>
      <x:c r="G85" s="43" t="str">
        <x:v>Primarily human participant samples in the cited research; consult the source for exact population and sampling details.</x:v>
      </x:c>
      <x:c r="H85" s="43" t="str">
        <x:v>Formalizes reference-dependent value and nonlinear probability weighting for risky choice.</x:v>
      </x:c>
      <x:c r="I85" s="43" t="str">
        <x:v>Construct- and relationship-specific; see the finding, limitations, and linked Relationships records.</x:v>
      </x:c>
      <x:c r="J85" s="43" t="str">
        <x:v>Descriptive parameters are context- and estimation-dependent and do not define immutable traits.</x:v>
      </x:c>
      <x:c r="K85" s="43" t="str">
        <x:v>Strong</x:v>
      </x:c>
      <x:c r="L85" s="43" t="str">
        <x:v>https://doi.org/10.1007/BF00122574</x:v>
      </x:c>
      <x:c r="M85" s="43" t="str">
        <x:v>Bibliographic metadata and persistent URL were normalized during the 2026-08-25 Layer 2 reconstruction. This is a representative evidence record, not a new formal systematic-review extraction.</x:v>
      </x:c>
    </x:row>
    <x:row r="86" ht="68" customHeight="1">
      <x:c r="A86" s="43" t="str">
        <x:v>SRC188</x:v>
      </x:c>
      <x:c r="B86" s="43" t="str">
        <x:v>PSY-086</x:v>
      </x:c>
      <x:c r="C86" s="43" t="str">
        <x:v>Decision Valuation Across Risk, Time &amp; Effort</x:v>
      </x:c>
      <x:c r="D86" s="43" t="str">
        <x:v>Weber, Blais &amp; Betz (2002) — A domain-specific risk-attitude scale</x:v>
      </x:c>
      <x:c r="E86" s="43" t="n">
        <x:v>2002</x:v>
      </x:c>
      <x:c r="F86" s="43" t="str">
        <x:v>Scale-development and validation studies</x:v>
      </x:c>
      <x:c r="G86" s="43" t="str">
        <x:v>Primarily human participant samples in the cited research; consult the source for exact population and sampling details.</x:v>
      </x:c>
      <x:c r="H86" s="43" t="str">
        <x:v>Risk attitudes vary substantially by domain, supporting domain-specific measurement.</x:v>
      </x:c>
      <x:c r="I86" s="43" t="str">
        <x:v>Construct- and relationship-specific; see the finding, limitations, and linked Relationships records.</x:v>
      </x:c>
      <x:c r="J86" s="43" t="str">
        <x:v>Self-report propensity and actual risky behavior are not interchangeable.</x:v>
      </x:c>
      <x:c r="K86" s="43" t="str">
        <x:v>Strong</x:v>
      </x:c>
      <x:c r="L86" s="43" t="str">
        <x:v>https://doi.org/10.1002/bdm.414</x:v>
      </x:c>
      <x:c r="M86" s="43" t="str">
        <x:v>Bibliographic metadata and persistent URL were normalized during the 2026-08-25 Layer 2 reconstruction. This is a representative evidence record, not a new formal systematic-review extraction.</x:v>
      </x:c>
    </x:row>
    <x:row r="87" ht="68" customHeight="1">
      <x:c r="A87" s="43" t="str">
        <x:v>SRC189</x:v>
      </x:c>
      <x:c r="B87" s="43" t="str">
        <x:v>PSY-088</x:v>
      </x:c>
      <x:c r="C87" s="43" t="str">
        <x:v>Decision Valuation Across Risk, Time &amp; Effort</x:v>
      </x:c>
      <x:c r="D87" s="43" t="str">
        <x:v>Ellsberg (1961) — Risk, ambiguity, and the Savage axioms</x:v>
      </x:c>
      <x:c r="E87" s="43" t="n">
        <x:v>1961</x:v>
      </x:c>
      <x:c r="F87" s="43" t="str">
        <x:v>Seminal theoretical and experimental article</x:v>
      </x:c>
      <x:c r="G87" s="43" t="str">
        <x:v>Primarily human participant samples in the cited research; consult the source for exact population and sampling details.</x:v>
      </x:c>
      <x:c r="H87" s="43" t="str">
        <x:v>Choice can favor known probabilities over ambiguous probabilities in ways not captured by simple expected utility.</x:v>
      </x:c>
      <x:c r="I87" s="43" t="str">
        <x:v>Construct- and relationship-specific; see the finding, limitations, and linked Relationships records.</x:v>
      </x:c>
      <x:c r="J87" s="43" t="str">
        <x:v>Classic stylized choices; ambiguity attitudes vary by domain, source, and competence.</x:v>
      </x:c>
      <x:c r="K87" s="43" t="str">
        <x:v>Strong</x:v>
      </x:c>
      <x:c r="L87" s="43" t="str">
        <x:v>https://doi.org/10.2307/1884324</x:v>
      </x:c>
      <x:c r="M87" s="43" t="str">
        <x:v>Bibliographic metadata and persistent URL were normalized during the 2026-08-25 Layer 2 reconstruction. This is a representative evidence record, not a new formal systematic-review extraction.</x:v>
      </x:c>
    </x:row>
    <x:row r="88" ht="68" customHeight="1">
      <x:c r="A88" s="43" t="str">
        <x:v>SRC190</x:v>
      </x:c>
      <x:c r="B88" s="43" t="str">
        <x:v>PSY-089; PSY-090</x:v>
      </x:c>
      <x:c r="C88" s="43" t="str">
        <x:v>Decision Valuation Across Risk, Time &amp; Effort</x:v>
      </x:c>
      <x:c r="D88" s="43" t="str">
        <x:v>Myerson, Green &amp; Warusawitharana (2001) — Area under the curve as a measure of delay discounting</x:v>
      </x:c>
      <x:c r="E88" s="43" t="n">
        <x:v>2001</x:v>
      </x:c>
      <x:c r="F88" s="43" t="str">
        <x:v>Methodological and empirical article</x:v>
      </x:c>
      <x:c r="G88" s="43" t="str">
        <x:v>Primarily human participant samples in the cited research; consult the source for exact population and sampling details.</x:v>
      </x:c>
      <x:c r="H88" s="43" t="str">
        <x:v>Provides a model-light summary of discounting from indifference points across delays.</x:v>
      </x:c>
      <x:c r="I88" s="43" t="str">
        <x:v>Construct- and relationship-specific; see the finding, limitations, and linked Relationships records.</x:v>
      </x:c>
      <x:c r="J88" s="43" t="str">
        <x:v>AUC still depends on task design, reward type, delays, and data quality.</x:v>
      </x:c>
      <x:c r="K88" s="43" t="str">
        <x:v>Strong</x:v>
      </x:c>
      <x:c r="L88" s="43" t="str">
        <x:v>https://doi.org/10.1901/jeab.2001.76-235</x:v>
      </x:c>
      <x:c r="M88" s="43" t="str">
        <x:v>Bibliographic metadata and persistent URL were normalized during the 2026-08-25 Layer 2 reconstruction. This is a representative evidence record, not a new formal systematic-review extraction.</x:v>
      </x:c>
    </x:row>
    <x:row r="89" ht="68" customHeight="1">
      <x:c r="A89" s="43" t="str">
        <x:v>SRC191</x:v>
      </x:c>
      <x:c r="B89" s="43" t="str">
        <x:v>PSY-091</x:v>
      </x:c>
      <x:c r="C89" s="43" t="str">
        <x:v>Decision Valuation Across Risk, Time &amp; Effort</x:v>
      </x:c>
      <x:c r="D89" s="43" t="str">
        <x:v>Westbrook et al. (2013) — What is the subjective cost of cognitive effort?</x:v>
      </x:c>
      <x:c r="E89" s="43" t="n">
        <x:v>2013</x:v>
      </x:c>
      <x:c r="F89" s="43" t="str">
        <x:v>Experimental choice studies</x:v>
      </x:c>
      <x:c r="G89" s="43" t="str">
        <x:v>Primarily human participant samples in the cited research; consult the source for exact population and sampling details.</x:v>
      </x:c>
      <x:c r="H89" s="43" t="str">
        <x:v>People discount rewards by required cognitive effort, with individual and age-related variation.</x:v>
      </x:c>
      <x:c r="I89" s="43" t="str">
        <x:v>Construct- and relationship-specific; see the finding, limitations, and linked Relationships records.</x:v>
      </x:c>
      <x:c r="J89" s="43" t="str">
        <x:v>Cognitive-effort paradigms may not transfer to physical effort or naturalistic sustained work.</x:v>
      </x:c>
      <x:c r="K89" s="43" t="str">
        <x:v>Moderate</x:v>
      </x:c>
      <x:c r="L89" s="43" t="str">
        <x:v>https://pubmed.ncbi.nlm.nih.gov/23894295/</x:v>
      </x:c>
      <x:c r="M89" s="43" t="str">
        <x:v>Bibliographic metadata and persistent URL were normalized during the 2026-08-25 Layer 2 reconstruction. This is a representative evidence record, not a new formal systematic-review extraction.</x:v>
      </x:c>
    </x:row>
    <x:row r="90" ht="68" customHeight="1">
      <x:c r="A90" s="43" t="str">
        <x:v>SRC192</x:v>
      </x:c>
      <x:c r="B90" s="43" t="str">
        <x:v>PSY-092</x:v>
      </x:c>
      <x:c r="C90" s="43" t="str">
        <x:v>Decision Valuation Across Risk, Time &amp; Effort</x:v>
      </x:c>
      <x:c r="D90" s="43" t="str">
        <x:v>Dhar (1997) — Consumer preference for a no-choice option</x:v>
      </x:c>
      <x:c r="E90" s="43" t="n">
        <x:v>1997</x:v>
      </x:c>
      <x:c r="F90" s="43" t="str">
        <x:v>Experimental studies</x:v>
      </x:c>
      <x:c r="G90" s="43" t="str">
        <x:v>Primarily human participant samples in the cited research; consult the source for exact population and sampling details.</x:v>
      </x:c>
      <x:c r="H90" s="43" t="str">
        <x:v>Choice conflict and preference uncertainty can increase deferral and selection of no-choice options.</x:v>
      </x:c>
      <x:c r="I90" s="43" t="str">
        <x:v>Construct- and relationship-specific; see the finding, limitations, and linked Relationships records.</x:v>
      </x:c>
      <x:c r="J90" s="43" t="str">
        <x:v>Consumer-choice paradigms; conflict and uncertainty can be difficult to separate.</x:v>
      </x:c>
      <x:c r="K90" s="43" t="str">
        <x:v>Moderate</x:v>
      </x:c>
      <x:c r="L90" s="43" t="str">
        <x:v>https://doi.org/10.1086/209506</x:v>
      </x:c>
      <x:c r="M90" s="43" t="str">
        <x:v>Bibliographic metadata and persistent URL were normalized during the 2026-08-25 Layer 2 reconstruction. This is a representative evidence record, not a new formal systematic-review extraction.</x:v>
      </x:c>
    </x:row>
    <x:row r="91" ht="68" customHeight="1">
      <x:c r="A91" s="43" t="str">
        <x:v>SRC193</x:v>
      </x:c>
      <x:c r="B91" s="43" t="str">
        <x:v>PSY-093</x:v>
      </x:c>
      <x:c r="C91" s="43" t="str">
        <x:v>Decision Valuation Across Risk, Time &amp; Effort</x:v>
      </x:c>
      <x:c r="D91" s="43" t="str">
        <x:v>Johnson &amp; Goldstein (2003) — Do defaults save lives?</x:v>
      </x:c>
      <x:c r="E91" s="43" t="n">
        <x:v>2003</x:v>
      </x:c>
      <x:c r="F91" s="43" t="str">
        <x:v>Naturalistic comparison and experiments</x:v>
      </x:c>
      <x:c r="G91" s="43" t="str">
        <x:v>Primarily human participant samples in the cited research; consult the source for exact population and sampling details.</x:v>
      </x:c>
      <x:c r="H91" s="43" t="str">
        <x:v>Default settings strongly alter organ-donation choices through effort, implied recommendation, and status-quo processes.</x:v>
      </x:c>
      <x:c r="I91" s="43" t="str">
        <x:v>Construct- and relationship-specific; see the finding, limitations, and linked Relationships records.</x:v>
      </x:c>
      <x:c r="J91" s="43" t="str">
        <x:v>Domain-specific policy context; mechanisms are multiple and default effects vary.</x:v>
      </x:c>
      <x:c r="K91" s="43" t="str">
        <x:v>Strong</x:v>
      </x:c>
      <x:c r="L91" s="43" t="str">
        <x:v>https://doi.org/10.1126/science.1091721</x:v>
      </x:c>
      <x:c r="M91" s="43" t="str">
        <x:v>Bibliographic metadata and persistent URL were normalized during the 2026-08-25 Layer 2 reconstruction. This is a representative evidence record, not a new formal systematic-review extraction.</x:v>
      </x:c>
    </x:row>
    <x:row r="92" ht="68" customHeight="1">
      <x:c r="A92" s="43" t="str">
        <x:v>SRC194</x:v>
      </x:c>
      <x:c r="B92" s="43" t="str">
        <x:v>PSY-094; PSY-096; PSY-099</x:v>
      </x:c>
      <x:c r="C92" s="43" t="str">
        <x:v>Self-Concept, Identity &amp; Consistency</x:v>
      </x:c>
      <x:c r="D92" s="43" t="str">
        <x:v>Rise, Sheeran &amp; Hukkelberg (2010) — The role of self-identity in the theory of planned behavior: a meta-analysis</x:v>
      </x:c>
      <x:c r="E92" s="43" t="n">
        <x:v>2010</x:v>
      </x:c>
      <x:c r="F92" s="43" t="str">
        <x:v>Meta-analysis</x:v>
      </x:c>
      <x:c r="G92" s="43" t="str">
        <x:v>Populations represented in the included literature; domains, countries, ages, and sampling frames vary by source.</x:v>
      </x:c>
      <x:c r="H92" s="43" t="str">
        <x:v>Behavior-specific self-identity adds prediction of intention and behavior beyond standard planned-behavior variables.</x:v>
      </x:c>
      <x:c r="I92" s="43" t="str">
        <x:v>Construct- and relationship-specific; see the finding, limitations, and linked Relationships records.</x:v>
      </x:c>
      <x:c r="J92" s="43" t="str">
        <x:v>Mostly correlational self-report studies; operationalizations and behaviors vary.</x:v>
      </x:c>
      <x:c r="K92" s="43" t="str">
        <x:v>Strong</x:v>
      </x:c>
      <x:c r="L92" s="43" t="str">
        <x:v>https://doi.org/10.1111/j.1559-1816.2010.00611.x</x:v>
      </x:c>
      <x:c r="M92" s="43" t="str">
        <x:v>Bibliographic metadata and persistent URL were normalized during the 2026-08-25 Layer 2 reconstruction. This is a representative evidence record, not a new formal systematic-review extraction.</x:v>
      </x:c>
    </x:row>
    <x:row r="93" ht="68" customHeight="1">
      <x:c r="A93" s="43" t="str">
        <x:v>SRC195</x:v>
      </x:c>
      <x:c r="B93" s="43" t="str">
        <x:v>PSY-099</x:v>
      </x:c>
      <x:c r="C93" s="43" t="str">
        <x:v>Self-Concept, Identity &amp; Consistency</x:v>
      </x:c>
      <x:c r="D93" s="43" t="str">
        <x:v>Campbell et al. (1996) — Self-concept clarity: measurement, personality correlates, and cultural boundaries</x:v>
      </x:c>
      <x:c r="E93" s="43" t="n">
        <x:v>1996</x:v>
      </x:c>
      <x:c r="F93" s="43" t="str">
        <x:v>Scale-development and validation studies</x:v>
      </x:c>
      <x:c r="G93" s="43" t="str">
        <x:v>Primarily human participant samples in the cited research; consult the source for exact population and sampling details.</x:v>
      </x:c>
      <x:c r="H93" s="43" t="str">
        <x:v>Self-concept clarity captures the definition, consistency, and stability of self-beliefs.</x:v>
      </x:c>
      <x:c r="I93" s="43" t="str">
        <x:v>Construct- and relationship-specific; see the finding, limitations, and linked Relationships records.</x:v>
      </x:c>
      <x:c r="J93" s="43" t="str">
        <x:v>Correlational evidence and Western samples dominate; clarity is not the same as accuracy or positivity.</x:v>
      </x:c>
      <x:c r="K93" s="43" t="str">
        <x:v>Moderate</x:v>
      </x:c>
      <x:c r="L93" s="43" t="str">
        <x:v>https://doi.org/10.1037/0022-3514.70.1.141</x:v>
      </x:c>
      <x:c r="M93" s="43" t="str">
        <x:v>Bibliographic metadata and persistent URL were normalized during the 2026-08-25 Layer 2 reconstruction. This is a representative evidence record, not a new formal systematic-review extraction.</x:v>
      </x:c>
    </x:row>
    <x:row r="94" ht="68" customHeight="1">
      <x:c r="A94" s="43" t="str">
        <x:v>SRC196</x:v>
      </x:c>
      <x:c r="B94" s="43" t="str">
        <x:v>PSY-102</x:v>
      </x:c>
      <x:c r="C94" s="43" t="str">
        <x:v>Self-Concept, Identity &amp; Consistency</x:v>
      </x:c>
      <x:c r="D94" s="43" t="str">
        <x:v>Harmon-Jones &amp; Mills (2019) — An introduction to cognitive dissonance theory and an overview of current perspectives</x:v>
      </x:c>
      <x:c r="E94" s="43" t="n">
        <x:v>2019</x:v>
      </x:c>
      <x:c r="F94" s="43" t="str">
        <x:v>Authoritative review</x:v>
      </x:c>
      <x:c r="G94" s="43" t="str">
        <x:v>Populations represented in the included literature; domains, countries, ages, and sampling frames vary by source.</x:v>
      </x:c>
      <x:c r="H94" s="43" t="str">
        <x:v>Updates conditions, mechanisms, and alternative interpretations of dissonance-related inconsistency reduction.</x:v>
      </x:c>
      <x:c r="I94" s="43" t="str">
        <x:v>Construct- and relationship-specific; see the finding, limitations, and linked Relationships records.</x:v>
      </x:c>
      <x:c r="J94" s="43" t="str">
        <x:v>Multiple models explain portions of the evidence; operationalization requires explicit inconsistency and aversive state.</x:v>
      </x:c>
      <x:c r="K94" s="43" t="str">
        <x:v>Strong</x:v>
      </x:c>
      <x:c r="L94" s="43" t="str">
        <x:v>https://doi.org/10.1037/0000135-001</x:v>
      </x:c>
      <x:c r="M94" s="43" t="str">
        <x:v>Bibliographic metadata and persistent URL were normalized during the 2026-08-25 Layer 2 reconstruction. This is a representative evidence record, not a new formal systematic-review extraction.</x:v>
      </x:c>
    </x:row>
    <x:row r="95" ht="68" customHeight="1">
      <x:c r="A95" s="43" t="str">
        <x:v>SRC197</x:v>
      </x:c>
      <x:c r="B95" s="43" t="str">
        <x:v>PSY-104</x:v>
      </x:c>
      <x:c r="C95" s="43" t="str">
        <x:v>Agency, Attribution &amp; Moral Judgment</x:v>
      </x:c>
      <x:c r="D95" s="43" t="str">
        <x:v>Moore (2016) — What is the sense of agency and why does it matter?</x:v>
      </x:c>
      <x:c r="E95" s="43" t="n">
        <x:v>2016</x:v>
      </x:c>
      <x:c r="F95" s="43" t="str">
        <x:v>Authoritative review</x:v>
      </x:c>
      <x:c r="G95" s="43" t="str">
        <x:v>Populations represented in the included literature; domains, countries, ages, and sampling frames vary by source.</x:v>
      </x:c>
      <x:c r="H95" s="43" t="str">
        <x:v>Sense of agency reflects prospective and retrospective signals linking voluntary action to effects.</x:v>
      </x:c>
      <x:c r="I95" s="43" t="str">
        <x:v>Construct- and relationship-specific; see the finding, limitations, and linked Relationships records.</x:v>
      </x:c>
      <x:c r="J95" s="43" t="str">
        <x:v>Laboratory action-binding measures and explicit agency ratings do not always converge.</x:v>
      </x:c>
      <x:c r="K95" s="43" t="str">
        <x:v>Moderate</x:v>
      </x:c>
      <x:c r="L95" s="43" t="str">
        <x:v>https://pubmed.ncbi.nlm.nih.gov/27765344/</x:v>
      </x:c>
      <x:c r="M95" s="43" t="str">
        <x:v>Bibliographic metadata and persistent URL were normalized during the 2026-08-25 Layer 2 reconstruction. This is a representative evidence record, not a new formal systematic-review extraction.</x:v>
      </x:c>
    </x:row>
    <x:row r="96" ht="68" customHeight="1">
      <x:c r="A96" s="43" t="str">
        <x:v>SRC198</x:v>
      </x:c>
      <x:c r="B96" s="43" t="str">
        <x:v>PSY-105; PSY-107</x:v>
      </x:c>
      <x:c r="C96" s="43" t="str">
        <x:v>Agency, Attribution &amp; Moral Judgment</x:v>
      </x:c>
      <x:c r="D96" s="43" t="str">
        <x:v>Cushman (2008) — Crime and punishment: causal and intentional analyses in moral judgment</x:v>
      </x:c>
      <x:c r="E96" s="43" t="n">
        <x:v>2008</x:v>
      </x:c>
      <x:c r="F96" s="43" t="str">
        <x:v>Experimental studies</x:v>
      </x:c>
      <x:c r="G96" s="43" t="str">
        <x:v>Primarily human participant samples in the cited research; consult the source for exact population and sampling details.</x:v>
      </x:c>
      <x:c r="H96" s="43" t="str">
        <x:v>Wrongness, blame, and punishment weight mental state and causal contribution differently.</x:v>
      </x:c>
      <x:c r="I96" s="43" t="str">
        <x:v>Construct- and relationship-specific; see the finding, limitations, and linked Relationships records.</x:v>
      </x:c>
      <x:c r="J96" s="43" t="str">
        <x:v>Vignette-based judgments and studied populations limit universal transfer.</x:v>
      </x:c>
      <x:c r="K96" s="43" t="str">
        <x:v>Strong</x:v>
      </x:c>
      <x:c r="L96" s="43" t="str">
        <x:v>https://pubmed.ncbi.nlm.nih.gov/18439575/</x:v>
      </x:c>
      <x:c r="M96" s="43" t="str">
        <x:v>Bibliographic metadata and persistent URL were normalized during the 2026-08-25 Layer 2 reconstruction. This is a representative evidence record, not a new formal systematic-review extraction.</x:v>
      </x:c>
    </x:row>
    <x:row r="97" ht="68" customHeight="1">
      <x:c r="A97" s="43" t="str">
        <x:v>SRC199</x:v>
      </x:c>
      <x:c r="B97" s="43" t="str">
        <x:v>PSY-106</x:v>
      </x:c>
      <x:c r="C97" s="43" t="str">
        <x:v>Agency, Attribution &amp; Moral Judgment</x:v>
      </x:c>
      <x:c r="D97" s="43" t="str">
        <x:v>Weiner (1985) — An attributional theory of achievement motivation and emotion</x:v>
      </x:c>
      <x:c r="E97" s="43" t="n">
        <x:v>1985</x:v>
      </x:c>
      <x:c r="F97" s="43" t="str">
        <x:v>Authoritative theory review</x:v>
      </x:c>
      <x:c r="G97" s="43" t="str">
        <x:v>Populations represented in the included literature; domains, countries, ages, and sampling frames vary by source.</x:v>
      </x:c>
      <x:c r="H97" s="43" t="str">
        <x:v>Causal locus, stability, and controllability influence emotion, expectancy, and action following outcomes.</x:v>
      </x:c>
      <x:c r="I97" s="43" t="str">
        <x:v>Construct- and relationship-specific; see the finding, limitations, and linked Relationships records.</x:v>
      </x:c>
      <x:c r="J97" s="43" t="str">
        <x:v>Achievement emphasis; attribution dimensions may operate differently in moral and intergroup contexts.</x:v>
      </x:c>
      <x:c r="K97" s="43" t="str">
        <x:v>Strong</x:v>
      </x:c>
      <x:c r="L97" s="43" t="str">
        <x:v>https://doi.org/10.1037/0033-295X.92.4.548</x:v>
      </x:c>
      <x:c r="M97" s="43" t="str">
        <x:v>Bibliographic metadata and persistent URL were normalized during the 2026-08-25 Layer 2 reconstruction. This is a representative evidence record, not a new formal systematic-review extraction.</x:v>
      </x:c>
    </x:row>
    <x:row r="98" ht="68" customHeight="1">
      <x:c r="A98" s="43" t="str">
        <x:v>SRC200</x:v>
      </x:c>
      <x:c r="B98" s="43" t="str">
        <x:v>PSY-108; PSY-109</x:v>
      </x:c>
      <x:c r="C98" s="43" t="str">
        <x:v>Agency, Attribution &amp; Moral Judgment</x:v>
      </x:c>
      <x:c r="D98" s="43" t="str">
        <x:v>Dillard &amp; Shen (2005) — On the nature of reactance and its role in persuasive health communication</x:v>
      </x:c>
      <x:c r="E98" s="43" t="n">
        <x:v>2005</x:v>
      </x:c>
      <x:c r="F98" s="43" t="str">
        <x:v>Scale-development and experimental studies</x:v>
      </x:c>
      <x:c r="G98" s="43" t="str">
        <x:v>Primarily human participant samples in the cited research; consult the source for exact population and sampling details.</x:v>
      </x:c>
      <x:c r="H98" s="43" t="str">
        <x:v>Freedom threat precedes reactance, which can be represented by anger and negative cognition and predicts resistance.</x:v>
      </x:c>
      <x:c r="I98" s="43" t="str">
        <x:v>Construct- and relationship-specific; see the finding, limitations, and linked Relationships records.</x:v>
      </x:c>
      <x:c r="J98" s="43" t="str">
        <x:v>Health-message paradigms; state reactance and dispositional reactance require separate measures.</x:v>
      </x:c>
      <x:c r="K98" s="43" t="str">
        <x:v>Strong</x:v>
      </x:c>
      <x:c r="L98" s="43" t="str">
        <x:v>https://doi.org/10.1080/03637750500111815</x:v>
      </x:c>
      <x:c r="M98" s="43" t="str">
        <x:v>Bibliographic metadata and persistent URL were normalized during the 2026-08-25 Layer 2 reconstruction. This is a representative evidence record, not a new formal systematic-review extraction.</x:v>
      </x:c>
    </x:row>
    <x:row r="99" ht="68" customHeight="1">
      <x:c r="A99" s="43" t="str">
        <x:v>SRC201</x:v>
      </x:c>
      <x:c r="B99" s="43" t="str">
        <x:v>PSY-113</x:v>
      </x:c>
      <x:c r="C99" s="43" t="str">
        <x:v>Epistemic Trust &amp; Persuasion</x:v>
      </x:c>
      <x:c r="D99" s="43" t="str">
        <x:v>Pornpitakpan (2004) — The persuasiveness of source credibility: a critical review of five decades' evidence</x:v>
      </x:c>
      <x:c r="E99" s="43" t="n">
        <x:v>2004</x:v>
      </x:c>
      <x:c r="F99" s="43" t="str">
        <x:v>Critical review</x:v>
      </x:c>
      <x:c r="G99" s="43" t="str">
        <x:v>Populations represented in the included literature; domains, countries, ages, and sampling frames vary by source.</x:v>
      </x:c>
      <x:c r="H99" s="43" t="str">
        <x:v>Source credibility often affects persuasion, but effects depend on involvement, timing, message, and source dimensions.</x:v>
      </x:c>
      <x:c r="I99" s="43" t="str">
        <x:v>Construct- and relationship-specific; see the finding, limitations, and linked Relationships records.</x:v>
      </x:c>
      <x:c r="J99" s="43" t="str">
        <x:v>Large conceptual and methodological heterogeneity; credibility dimensions are often conflated.</x:v>
      </x:c>
      <x:c r="K99" s="43" t="str">
        <x:v>Moderate</x:v>
      </x:c>
      <x:c r="L99" s="43" t="str">
        <x:v>https://doi.org/10.1111/j.1559-1816.2004.tb02547.x</x:v>
      </x:c>
      <x:c r="M99" s="43" t="str">
        <x:v>Bibliographic metadata and persistent URL were normalized during the 2026-08-25 Layer 2 reconstruction. This is a representative evidence record, not a new formal systematic-review extraction.</x:v>
      </x:c>
    </x:row>
    <x:row r="100" ht="68" customHeight="1">
      <x:c r="A100" s="43" t="str">
        <x:v>SRC202</x:v>
      </x:c>
      <x:c r="B100" s="43" t="str">
        <x:v>PSY-120; PSY-121; PSY-122; PSY-123; PSY-124</x:v>
      </x:c>
      <x:c r="C100" s="43" t="str">
        <x:v>Stable Dispositions &amp; Temperament</x:v>
      </x:c>
      <x:c r="D100" s="43" t="str">
        <x:v>Soto &amp; John (2017) — The next Big Five Inventory (BFI-2)</x:v>
      </x:c>
      <x:c r="E100" s="43" t="n">
        <x:v>2017</x:v>
      </x:c>
      <x:c r="F100" s="43" t="str">
        <x:v>Scale-development and validation studies</x:v>
      </x:c>
      <x:c r="G100" s="43" t="str">
        <x:v>Primarily human participant samples in the cited research; consult the source for exact population and sampling details.</x:v>
      </x:c>
      <x:c r="H100" s="43" t="str">
        <x:v>Provides a hierarchical, facet-balanced assessment of the Big Five domains.</x:v>
      </x:c>
      <x:c r="I100" s="43" t="str">
        <x:v>Construct- and relationship-specific; see the finding, limitations, and linked Relationships records.</x:v>
      </x:c>
      <x:c r="J100" s="43" t="str">
        <x:v>Self-report, short-form, and cross-cultural measurement limitations apply.</x:v>
      </x:c>
      <x:c r="K100" s="43" t="str">
        <x:v>Strong</x:v>
      </x:c>
      <x:c r="L100" s="43" t="str">
        <x:v>https://doi.org/10.1037/pspp0000096</x:v>
      </x:c>
      <x:c r="M100" s="43" t="str">
        <x:v>Bibliographic metadata and persistent URL were normalized during the 2026-08-25 Layer 2 reconstruction. This is a representative evidence record, not a new formal systematic-review extraction.</x:v>
      </x:c>
    </x:row>
    <x:row r="101" ht="68" customHeight="1">
      <x:c r="A101" s="43" t="str">
        <x:v>SRC203</x:v>
      </x:c>
      <x:c r="B101" s="43" t="str">
        <x:v>PSY-120; PSY-122; PSY-123; PSY-124</x:v>
      </x:c>
      <x:c r="C101" s="43" t="str">
        <x:v>Stable Dispositions &amp; Temperament</x:v>
      </x:c>
      <x:c r="D101" s="43" t="str">
        <x:v>Mammadov (2022) — Big Five personality traits and academic performance: a meta-analysis</x:v>
      </x:c>
      <x:c r="E101" s="43" t="n">
        <x:v>2022</x:v>
      </x:c>
      <x:c r="F101" s="43" t="str">
        <x:v>Meta-analysis</x:v>
      </x:c>
      <x:c r="G101" s="43" t="str">
        <x:v>Populations represented in the included literature; domains, countries, ages, and sampling frames vary by source.</x:v>
      </x:c>
      <x:c r="H101" s="43" t="str">
        <x:v>Conscientiousness shows a robust association with academic performance after accounting for cognitive ability.</x:v>
      </x:c>
      <x:c r="I101" s="43" t="str">
        <x:v>Construct- and relationship-specific; see the finding, limitations, and linked Relationships records.</x:v>
      </x:c>
      <x:c r="J101" s="43" t="str">
        <x:v>Academic outcomes do not establish universal behavioral effects of personality.</x:v>
      </x:c>
      <x:c r="K101" s="43" t="str">
        <x:v>Strong</x:v>
      </x:c>
      <x:c r="L101" s="43" t="str">
        <x:v>https://pubmed.ncbi.nlm.nih.gov/34265097/</x:v>
      </x:c>
      <x:c r="M101" s="43" t="str">
        <x:v>Bibliographic metadata and persistent URL were normalized during the 2026-08-25 Layer 2 reconstruction. This is a representative evidence record, not a new formal systematic-review extraction.</x:v>
      </x:c>
    </x:row>
    <x:row r="102" ht="68" customHeight="1">
      <x:c r="A102" s="43" t="str">
        <x:v>SRC204</x:v>
      </x:c>
      <x:c r="B102" s="43" t="str">
        <x:v>PSY-121</x:v>
      </x:c>
      <x:c r="C102" s="43" t="str">
        <x:v>Stable Dispositions &amp; Temperament</x:v>
      </x:c>
      <x:c r="D102" s="43" t="str">
        <x:v>Kotov et al. (2010) — Linking Big Five traits to anxiety, depressive, and substance use disorders</x:v>
      </x:c>
      <x:c r="E102" s="43" t="n">
        <x:v>2010</x:v>
      </x:c>
      <x:c r="F102" s="43" t="str">
        <x:v>Meta-analysis</x:v>
      </x:c>
      <x:c r="G102" s="43" t="str">
        <x:v>Populations represented in the included literature; domains, countries, ages, and sampling frames vary by source.</x:v>
      </x:c>
      <x:c r="H102" s="43" t="str">
        <x:v>Neuroticism and selected other traits show differentiated associations with psychopathology.</x:v>
      </x:c>
      <x:c r="I102" s="43" t="str">
        <x:v>Construct- and relationship-specific; see the finding, limitations, and linked Relationships records.</x:v>
      </x:c>
      <x:c r="J102" s="43" t="str">
        <x:v>Clinical association is not proof of trait causation; diagnosis and trait measurement overlap can contribute.</x:v>
      </x:c>
      <x:c r="K102" s="43" t="str">
        <x:v>Strong</x:v>
      </x:c>
      <x:c r="L102" s="43" t="str">
        <x:v>https://pubmed.ncbi.nlm.nih.gov/20804236/</x:v>
      </x:c>
      <x:c r="M102" s="43" t="str">
        <x:v>Bibliographic metadata and persistent URL were normalized during the 2026-08-25 Layer 2 reconstruction. This is a representative evidence record, not a new formal systematic-review extraction.</x:v>
      </x:c>
    </x:row>
    <x:row r="103" ht="68" customHeight="1">
      <x:c r="A103" s="43" t="str">
        <x:v>SRC205</x:v>
      </x:c>
      <x:c r="B103" s="43" t="str">
        <x:v>PSY-125</x:v>
      </x:c>
      <x:c r="C103" s="43" t="str">
        <x:v>Stable Dispositions &amp; Temperament</x:v>
      </x:c>
      <x:c r="D103" s="43" t="str">
        <x:v>Sharma, Markon &amp; Clark (2014) — Toward a theory of distinct types of impulsive behaviors: a meta-analysis</x:v>
      </x:c>
      <x:c r="E103" s="43" t="n">
        <x:v>2014</x:v>
      </x:c>
      <x:c r="F103" s="43" t="str">
        <x:v>Meta-analysis</x:v>
      </x:c>
      <x:c r="G103" s="43" t="str">
        <x:v>Populations represented in the included literature; domains, countries, ages, and sampling frames vary by source.</x:v>
      </x:c>
      <x:c r="H103" s="43" t="str">
        <x:v>Impulsivity is multidimensional, with separable but related traits and tasks.</x:v>
      </x:c>
      <x:c r="I103" s="43" t="str">
        <x:v>Construct- and relationship-specific; see the finding, limitations, and linked Relationships records.</x:v>
      </x:c>
      <x:c r="J103" s="43" t="str">
        <x:v>Task and questionnaire measures show modest convergence; broad scores can hide distinct mechanisms.</x:v>
      </x:c>
      <x:c r="K103" s="43" t="str">
        <x:v>Strong</x:v>
      </x:c>
      <x:c r="L103" s="43" t="str">
        <x:v>https://doi.org/10.1037/a0037917</x:v>
      </x:c>
      <x:c r="M103" s="43" t="str">
        <x:v>Bibliographic metadata and persistent URL were normalized during the 2026-08-25 Layer 2 reconstruction. This is a representative evidence record, not a new formal systematic-review extraction.</x:v>
      </x:c>
    </x:row>
    <x:row r="104" ht="68" customHeight="1">
      <x:c r="A104" s="43" t="str">
        <x:v>SRC206</x:v>
      </x:c>
      <x:c r="B104" s="43" t="str">
        <x:v>PSY-126</x:v>
      </x:c>
      <x:c r="C104" s="43" t="str">
        <x:v>Stable Dispositions &amp; Temperament</x:v>
      </x:c>
      <x:c r="D104" s="43" t="str">
        <x:v>Zuckerman (2007) — Sensation seeking and risky behavior</x:v>
      </x:c>
      <x:c r="E104" s="43" t="n">
        <x:v>2007</x:v>
      </x:c>
      <x:c r="F104" s="43" t="str">
        <x:v>Authoritative monograph</x:v>
      </x:c>
      <x:c r="G104" s="43" t="str">
        <x:v>Primarily human participant samples in the cited research; consult the source for exact population and sampling details.</x:v>
      </x:c>
      <x:c r="H104" s="43" t="str">
        <x:v>Synthesizes sensation seeking as a broad preference for novelty and intensity with domain-dependent risky behavior.</x:v>
      </x:c>
      <x:c r="I104" s="43" t="str">
        <x:v>Construct- and relationship-specific; see the finding, limitations, and linked Relationships records.</x:v>
      </x:c>
      <x:c r="J104" s="43" t="str">
        <x:v>Broad synthesis; cultural, age, and opportunity moderators are substantial.</x:v>
      </x:c>
      <x:c r="K104" s="43" t="str">
        <x:v>Moderate</x:v>
      </x:c>
      <x:c r="L104" s="43" t="str">
        <x:v>https://psycnet.apa.org/record/2006-11796-000</x:v>
      </x:c>
      <x:c r="M104" s="43" t="str">
        <x:v>Bibliographic metadata and persistent URL were normalized during the 2026-08-25 Layer 2 reconstruction. This is a representative evidence record, not a new formal systematic-review extraction.</x:v>
      </x:c>
    </x:row>
    <x:row r="105" ht="68" customHeight="1">
      <x:c r="A105" s="43" t="str">
        <x:v>SRC207</x:v>
      </x:c>
      <x:c r="B105" s="43" t="str">
        <x:v>PSY-131</x:v>
      </x:c>
      <x:c r="C105" s="43" t="str">
        <x:v>Stable Dispositions &amp; Temperament</x:v>
      </x:c>
      <x:c r="D105" s="43" t="str">
        <x:v>Carleton, Norton &amp; Asmundson (2007) — Fearing the unknown: a short version of the Intolerance of Uncertainty Scale</x:v>
      </x:c>
      <x:c r="E105" s="43" t="n">
        <x:v>2007</x:v>
      </x:c>
      <x:c r="F105" s="43" t="str">
        <x:v>Scale-development and validation studies</x:v>
      </x:c>
      <x:c r="G105" s="43" t="str">
        <x:v>Primarily human participant samples in the cited research; consult the source for exact population and sampling details.</x:v>
      </x:c>
      <x:c r="H105" s="43" t="str">
        <x:v>Provides a concise measure of prospective and inhibitory intolerance of uncertainty.</x:v>
      </x:c>
      <x:c r="I105" s="43" t="str">
        <x:v>Construct- and relationship-specific; see the finding, limitations, and linked Relationships records.</x:v>
      </x:c>
      <x:c r="J105" s="43" t="str">
        <x:v>Clinical and convenience samples dominate early validation; state and trait uncertainty responses differ.</x:v>
      </x:c>
      <x:c r="K105" s="43" t="str">
        <x:v>Strong</x:v>
      </x:c>
      <x:c r="L105" s="43" t="str">
        <x:v>https://doi.org/10.1007/s10608-007-9154-z</x:v>
      </x:c>
      <x:c r="M105" s="43" t="str">
        <x:v>Bibliographic metadata and persistent URL were normalized during the 2026-08-25 Layer 2 reconstruction. This is a representative evidence record, not a new formal systematic-review extraction.</x:v>
      </x:c>
    </x:row>
    <x:row r="106">
      <x:c r="A106"/>
      <x:c r="B106"/>
      <x:c r="C106"/>
      <x:c r="D106"/>
      <x:c r="E106"/>
      <x:c r="F106"/>
      <x:c r="G106"/>
      <x:c r="H106"/>
      <x:c r="I106"/>
      <x:c r="J106"/>
      <x:c r="K106"/>
      <x:c r="L106"/>
      <x:c r="M106"/>
    </x:row>
    <x:row r="107">
      <x:c r="A107"/>
      <x:c r="B107"/>
      <x:c r="C107"/>
      <x:c r="D107"/>
      <x:c r="E107"/>
      <x:c r="F107"/>
      <x:c r="G107"/>
      <x:c r="H107"/>
      <x:c r="I107"/>
      <x:c r="J107"/>
      <x:c r="K107"/>
      <x:c r="L107"/>
      <x:c r="M107"/>
    </x:row>
    <x:row r="108">
      <x:c r="A108"/>
      <x:c r="B108"/>
      <x:c r="C108"/>
      <x:c r="D108"/>
      <x:c r="E108"/>
      <x:c r="F108"/>
      <x:c r="G108"/>
      <x:c r="H108"/>
      <x:c r="I108"/>
      <x:c r="J108"/>
      <x:c r="K108"/>
      <x:c r="L108"/>
      <x:c r="M108"/>
    </x:row>
    <x:row r="109">
      <x:c r="A109"/>
      <x:c r="B109"/>
      <x:c r="C109"/>
      <x:c r="D109"/>
      <x:c r="E109"/>
      <x:c r="F109"/>
      <x:c r="G109"/>
      <x:c r="H109"/>
      <x:c r="I109"/>
      <x:c r="J109"/>
      <x:c r="K109"/>
      <x:c r="L109"/>
      <x:c r="M109"/>
    </x:row>
    <x:row r="110">
      <x:c r="A110"/>
      <x:c r="B110"/>
      <x:c r="C110"/>
      <x:c r="D110"/>
      <x:c r="E110"/>
      <x:c r="F110"/>
      <x:c r="G110"/>
      <x:c r="H110"/>
      <x:c r="I110"/>
      <x:c r="J110"/>
      <x:c r="K110"/>
      <x:c r="L110"/>
      <x:c r="M110"/>
    </x:row>
  </x:sheetData>
  <x:mergeCells>
    <x:mergeCell ref="A1:M1"/>
    <x:mergeCell ref="A2:M2"/>
  </x:mergeCells>
  <x:dataValidations count="1">
    <x:dataValidation type="list" sqref="K5:K105">
      <x:formula1>"Strong,Moderate,Emerging,Mixed,Limited"</x:formula1>
    </x:dataValidation>
  </x:dataValidations>
  <x:pageMargins left="0.7" right="0.7" top="0.75" bottom="0.75" header="0.3" footer="0.3"/>
  <x:tableParts count="1">
    <x:tablePart xmlns:r="http://schemas.openxmlformats.org/officeDocument/2006/relationships" r:id="Rcefbe894a69e472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28" hidden="0" customWidth="1"/>
    <x:col min="4" max="4" width="13" hidden="0" customWidth="1"/>
    <x:col min="5" max="5" width="28" hidden="0" customWidth="1"/>
    <x:col min="6" max="6" width="25" hidden="0" customWidth="1"/>
    <x:col min="7" max="7" width="18" hidden="0" customWidth="1"/>
    <x:col min="8" max="8" width="28" hidden="0" customWidth="1"/>
    <x:col min="9" max="9" width="40" hidden="0" customWidth="1"/>
    <x:col min="10" max="10" width="22" hidden="0" customWidth="1"/>
    <x:col min="11" max="11" width="15" hidden="0" customWidth="1"/>
    <x:col min="12" max="12" width="48" hidden="0" customWidth="1"/>
    <x:col min="13" max="13" width="24" hidden="0" customWidth="1"/>
  </x:cols>
  <x:sheetData>
    <x:row r="1" ht="30" customHeight="1">
      <x:c r="A1" s="46" t="str">
        <x:v>PSYWERX Psychological Driver Ontology — Relationships</x:v>
      </x:c>
      <x:c r="B1" s="46"/>
      <x:c r="C1" s="46"/>
      <x:c r="D1" s="46"/>
      <x:c r="E1" s="46"/>
      <x:c r="F1" s="46"/>
      <x:c r="G1" s="46"/>
      <x:c r="H1" s="46"/>
      <x:c r="I1" s="46"/>
      <x:c r="J1" s="46"/>
      <x:c r="K1" s="46"/>
      <x:c r="L1" s="46"/>
      <x:c r="M1" s="46"/>
    </x:row>
    <x:row r="2" ht="42" customHeight="1">
      <x:c r="A2" s="49" t="str">
        <x:v>Conservative evidence-bearing candidate edges. Expected Direction applies to the specific relationship under stated conditions, never as a universal property of a driver.</x:v>
      </x:c>
      <x:c r="B2" s="49"/>
      <x:c r="C2" s="49"/>
      <x:c r="D2" s="49"/>
      <x:c r="E2" s="49"/>
      <x:c r="F2" s="49"/>
      <x:c r="G2" s="49"/>
      <x:c r="H2" s="49"/>
      <x:c r="I2" s="49"/>
      <x:c r="J2" s="49"/>
      <x:c r="K2" s="49"/>
      <x:c r="L2" s="49"/>
      <x:c r="M2" s="49"/>
    </x:row>
    <x:row r="3" ht="8" customHeight="1">
      <x:c r="A3" s="43"/>
      <x:c r="B3" s="43"/>
      <x:c r="C3" s="43"/>
      <x:c r="D3" s="43"/>
      <x:c r="E3" s="43"/>
      <x:c r="F3" s="43"/>
      <x:c r="G3" s="43"/>
      <x:c r="H3" s="43"/>
      <x:c r="I3" s="43"/>
      <x:c r="J3" s="43"/>
      <x:c r="K3" s="43"/>
      <x:c r="L3" s="43"/>
      <x:c r="M3" s="43"/>
    </x:row>
    <x:row r="4" ht="46" customHeight="1">
      <x:c r="A4" s="52" t="str">
        <x:v>Relationship ID</x:v>
      </x:c>
      <x:c r="B4" s="52" t="str">
        <x:v>Source Driver ID</x:v>
      </x:c>
      <x:c r="C4" s="52" t="str">
        <x:v>Source Driver</x:v>
      </x:c>
      <x:c r="D4" s="52" t="str">
        <x:v>Target Driver ID</x:v>
      </x:c>
      <x:c r="E4" s="52" t="str">
        <x:v>Target Driver</x:v>
      </x:c>
      <x:c r="F4" s="52" t="str">
        <x:v>Relationship Type</x:v>
      </x:c>
      <x:c r="G4" s="52" t="str">
        <x:v>Expected Direction</x:v>
      </x:c>
      <x:c r="H4" s="52" t="str">
        <x:v>Functional Form</x:v>
      </x:c>
      <x:c r="I4" s="52" t="str">
        <x:v>Moderators / Conditions</x:v>
      </x:c>
      <x:c r="J4" s="52" t="str">
        <x:v>Time Lag</x:v>
      </x:c>
      <x:c r="K4" s="52" t="str">
        <x:v>Evidence Strength</x:v>
      </x:c>
      <x:c r="L4" s="52" t="str">
        <x:v>Evidence Notes</x:v>
      </x:c>
      <x:c r="M4" s="52" t="str">
        <x:v>Evidence IDs</x:v>
      </x:c>
    </x:row>
    <x:row r="5" ht="66" customHeight="1">
      <x:c r="A5" s="43" t="str">
        <x:v>REL-PSY-001</x:v>
      </x:c>
      <x:c r="B5" s="43" t="str">
        <x:v>PSY-001</x:v>
      </x:c>
      <x:c r="C5" s="43" t="str">
        <x:v>Attitude Valence</x:v>
      </x:c>
      <x:c r="D5" s="43" t="str">
        <x:v>PSY-026</x:v>
      </x:c>
      <x:c r="E5" s="43" t="str">
        <x:v>Intention Strength</x:v>
      </x:c>
      <x:c r="F5" s="43" t="str">
        <x:v>Candidate causal influence</x:v>
      </x:c>
      <x:c r="G5" s="43" t="str">
        <x:v>Positive</x:v>
      </x:c>
      <x:c r="H5" s="43" t="str">
        <x:v>Generally monotonic but opportunity- and specificity-limited</x:v>
      </x:c>
      <x:c r="I5" s="43" t="str">
        <x:v>Behavioral specificity, attitude strength, perceived control, habits, and temporal alignment</x:v>
      </x:c>
      <x:c r="J5" s="43" t="str">
        <x:v>Minutes–Hours</x:v>
      </x:c>
      <x:c r="K5" s="43" t="str">
        <x:v>Strong</x:v>
      </x:c>
      <x:c r="L5" s="43" t="str">
        <x:v>More favorable behavior-specific evaluation usually supports stronger intention, but the edge does not imply action.</x:v>
      </x:c>
      <x:c r="M5" s="43" t="str">
        <x:v>SRC107; SRC110</x:v>
      </x:c>
    </x:row>
    <x:row r="6" ht="66" customHeight="1">
      <x:c r="A6" s="43" t="str">
        <x:v>REL-PSY-002</x:v>
      </x:c>
      <x:c r="B6" s="43" t="str">
        <x:v>PSY-002</x:v>
      </x:c>
      <x:c r="C6" s="43" t="str">
        <x:v>Attitude Strength</x:v>
      </x:c>
      <x:c r="D6" s="43" t="str">
        <x:v>PSY-026</x:v>
      </x:c>
      <x:c r="E6" s="43" t="str">
        <x:v>Intention Strength</x:v>
      </x:c>
      <x:c r="F6" s="43" t="str">
        <x:v>Moderating influence</x:v>
      </x:c>
      <x:c r="G6" s="43" t="str">
        <x:v>Positive</x:v>
      </x:c>
      <x:c r="H6" s="43" t="str">
        <x:v>Saturating</x:v>
      </x:c>
      <x:c r="I6" s="43" t="str">
        <x:v>Valence, direct experience, accessibility, and opportunity</x:v>
      </x:c>
      <x:c r="J6" s="43" t="str">
        <x:v>Minutes–Hours</x:v>
      </x:c>
      <x:c r="K6" s="43" t="str">
        <x:v>Moderate</x:v>
      </x:c>
      <x:c r="L6" s="43" t="str">
        <x:v>Stronger attitudes are generally more consequential for intention than weak or uncertain evaluations.</x:v>
      </x:c>
      <x:c r="M6" s="43" t="str">
        <x:v>SRC156; SRC117</x:v>
      </x:c>
    </x:row>
    <x:row r="7" ht="66" customHeight="1">
      <x:c r="A7" s="43" t="str">
        <x:v>REL-PSY-003</x:v>
      </x:c>
      <x:c r="B7" s="43" t="str">
        <x:v>PSY-004</x:v>
      </x:c>
      <x:c r="C7" s="43" t="str">
        <x:v>Outcome Expectancy</x:v>
      </x:c>
      <x:c r="D7" s="43" t="str">
        <x:v>PSY-001</x:v>
      </x:c>
      <x:c r="E7" s="43" t="str">
        <x:v>Attitude Valence</x:v>
      </x:c>
      <x:c r="F7" s="43" t="str">
        <x:v>Candidate causal influence</x:v>
      </x:c>
      <x:c r="G7" s="43" t="str">
        <x:v>Contingent</x:v>
      </x:c>
      <x:c r="H7" s="43" t="str">
        <x:v>Expected-consequence integration</x:v>
      </x:c>
      <x:c r="I7" s="43" t="str">
        <x:v>Outcome valuation, probability, trust in evidence, and competing expectancies</x:v>
      </x:c>
      <x:c r="J7" s="43" t="str">
        <x:v>Minutes–Hours</x:v>
      </x:c>
      <x:c r="K7" s="43" t="str">
        <x:v>Strong</x:v>
      </x:c>
      <x:c r="L7" s="43" t="str">
        <x:v>Expected consequences contribute to evaluation according to their subjective value.</x:v>
      </x:c>
      <x:c r="M7" s="43" t="str">
        <x:v>SRC110; SRC111</x:v>
      </x:c>
    </x:row>
    <x:row r="8" ht="66" customHeight="1">
      <x:c r="A8" s="43" t="str">
        <x:v>REL-PSY-004</x:v>
      </x:c>
      <x:c r="B8" s="43" t="str">
        <x:v>PSY-005</x:v>
      </x:c>
      <x:c r="C8" s="43" t="str">
        <x:v>Outcome Valuation</x:v>
      </x:c>
      <x:c r="D8" s="43" t="str">
        <x:v>PSY-001</x:v>
      </x:c>
      <x:c r="E8" s="43" t="str">
        <x:v>Attitude Valence</x:v>
      </x:c>
      <x:c r="F8" s="43" t="str">
        <x:v>Candidate causal influence</x:v>
      </x:c>
      <x:c r="G8" s="43" t="str">
        <x:v>Contingent</x:v>
      </x:c>
      <x:c r="H8" s="43" t="str">
        <x:v>Valence-weighted integration</x:v>
      </x:c>
      <x:c r="I8" s="43" t="str">
        <x:v>Outcome expectancy, identity, moral obligation, and reference point</x:v>
      </x:c>
      <x:c r="J8" s="43" t="str">
        <x:v>Minutes–Hours</x:v>
      </x:c>
      <x:c r="K8" s="43" t="str">
        <x:v>Strong</x:v>
      </x:c>
      <x:c r="L8" s="43" t="str">
        <x:v>More positively valued expected outcomes generally support a more favorable attitude toward the action.</x:v>
      </x:c>
      <x:c r="M8" s="43" t="str">
        <x:v>SRC110; SRC113</x:v>
      </x:c>
    </x:row>
    <x:row r="9" ht="66" customHeight="1">
      <x:c r="A9" s="43" t="str">
        <x:v>REL-PSY-005</x:v>
      </x:c>
      <x:c r="B9" s="43" t="str">
        <x:v>PSY-011</x:v>
      </x:c>
      <x:c r="C9" s="43" t="str">
        <x:v>Self-Efficacy</x:v>
      </x:c>
      <x:c r="D9" s="43" t="str">
        <x:v>PSY-026</x:v>
      </x:c>
      <x:c r="E9" s="43" t="str">
        <x:v>Intention Strength</x:v>
      </x:c>
      <x:c r="F9" s="43" t="str">
        <x:v>Candidate causal influence</x:v>
      </x:c>
      <x:c r="G9" s="43" t="str">
        <x:v>Positive</x:v>
      </x:c>
      <x:c r="H9" s="43" t="str">
        <x:v>Saturating</x:v>
      </x:c>
      <x:c r="I9" s="43" t="str">
        <x:v>Task difficulty, actual capability, opportunity, outcome value, and prior mastery</x:v>
      </x:c>
      <x:c r="J9" s="43" t="str">
        <x:v>Minutes–Hours</x:v>
      </x:c>
      <x:c r="K9" s="43" t="str">
        <x:v>Strong</x:v>
      </x:c>
      <x:c r="L9" s="43" t="str">
        <x:v>Greater behavior-specific capability belief supports intention when the action is valued and feasible.</x:v>
      </x:c>
      <x:c r="M9" s="43" t="str">
        <x:v>SRC107; SRC111</x:v>
      </x:c>
    </x:row>
    <x:row r="10" ht="66" customHeight="1">
      <x:c r="A10" s="43" t="str">
        <x:v>REL-PSY-006</x:v>
      </x:c>
      <x:c r="B10" s="43" t="str">
        <x:v>PSY-012</x:v>
      </x:c>
      <x:c r="C10" s="43" t="str">
        <x:v>Perceived Behavioral Control</x:v>
      </x:c>
      <x:c r="D10" s="43" t="str">
        <x:v>PSY-026</x:v>
      </x:c>
      <x:c r="E10" s="43" t="str">
        <x:v>Intention Strength</x:v>
      </x:c>
      <x:c r="F10" s="43" t="str">
        <x:v>Candidate causal influence</x:v>
      </x:c>
      <x:c r="G10" s="43" t="str">
        <x:v>Positive</x:v>
      </x:c>
      <x:c r="H10" s="43" t="str">
        <x:v>Generally monotonic</x:v>
      </x:c>
      <x:c r="I10" s="43" t="str">
        <x:v>Accuracy of perceived control, resource constraints, attitude, and norms</x:v>
      </x:c>
      <x:c r="J10" s="43" t="str">
        <x:v>Minutes–Hours</x:v>
      </x:c>
      <x:c r="K10" s="43" t="str">
        <x:v>Strong</x:v>
      </x:c>
      <x:c r="L10" s="43" t="str">
        <x:v>Greater perceived control generally supports intention; direct behavioral effects require alignment with actual control.</x:v>
      </x:c>
      <x:c r="M10" s="43" t="str">
        <x:v>SRC107; SRC110</x:v>
      </x:c>
    </x:row>
    <x:row r="11" ht="66" customHeight="1">
      <x:c r="A11" s="43" t="str">
        <x:v>REL-PSY-007</x:v>
      </x:c>
      <x:c r="B11" s="43" t="str">
        <x:v>PSY-007</x:v>
      </x:c>
      <x:c r="C11" s="43" t="str">
        <x:v>Perceived Relevance</x:v>
      </x:c>
      <x:c r="D11" s="43" t="str">
        <x:v>PSY-059</x:v>
      </x:c>
      <x:c r="E11" s="43" t="str">
        <x:v>Elaboration Depth</x:v>
      </x:c>
      <x:c r="F11" s="43" t="str">
        <x:v>Candidate causal influence</x:v>
      </x:c>
      <x:c r="G11" s="43" t="str">
        <x:v>Positive</x:v>
      </x:c>
      <x:c r="H11" s="43" t="str">
        <x:v>Threshold then saturating</x:v>
      </x:c>
      <x:c r="I11" s="43" t="str">
        <x:v>Need for cognition, available capacity, time pressure, and identity relevance</x:v>
      </x:c>
      <x:c r="J11" s="43" t="str">
        <x:v>Seconds–Minutes</x:v>
      </x:c>
      <x:c r="K11" s="43" t="str">
        <x:v>Strong</x:v>
      </x:c>
      <x:c r="L11" s="43" t="str">
        <x:v>Greater perceived relevance normally increases issue-relevant processing when ability is adequate.</x:v>
      </x:c>
      <x:c r="M11" s="43" t="str">
        <x:v>SRC117; SRC162</x:v>
      </x:c>
    </x:row>
    <x:row r="12" ht="66" customHeight="1">
      <x:c r="A12" s="43" t="str">
        <x:v>REL-PSY-008</x:v>
      </x:c>
      <x:c r="B12" s="43" t="str">
        <x:v>PSY-008</x:v>
      </x:c>
      <x:c r="C12" s="43" t="str">
        <x:v>Perceived Outcome Likelihood</x:v>
      </x:c>
      <x:c r="D12" s="43" t="str">
        <x:v>PSY-041</x:v>
      </x:c>
      <x:c r="E12" s="43" t="str">
        <x:v>Fear Intensity</x:v>
      </x:c>
      <x:c r="F12" s="43" t="str">
        <x:v>Candidate causal influence</x:v>
      </x:c>
      <x:c r="G12" s="43" t="str">
        <x:v>Positive</x:v>
      </x:c>
      <x:c r="H12" s="43" t="str">
        <x:v>Threshold / contingent</x:v>
      </x:c>
      <x:c r="I12" s="43" t="str">
        <x:v>Threat severity, uncertainty, immediacy, controllability, and efficacy</x:v>
      </x:c>
      <x:c r="J12" s="43" t="str">
        <x:v>Seconds–Minutes</x:v>
      </x:c>
      <x:c r="K12" s="43" t="str">
        <x:v>Strong</x:v>
      </x:c>
      <x:c r="L12" s="43" t="str">
        <x:v>Greater perceived likelihood of an adverse outcome can intensify fear when severity and immediacy are meaningful.</x:v>
      </x:c>
      <x:c r="M12" s="43" t="str">
        <x:v>SRC124; SRC175</x:v>
      </x:c>
    </x:row>
    <x:row r="13" ht="66" customHeight="1">
      <x:c r="A13" s="43" t="str">
        <x:v>REL-PSY-009</x:v>
      </x:c>
      <x:c r="B13" s="43" t="str">
        <x:v>PSY-009</x:v>
      </x:c>
      <x:c r="C13" s="43" t="str">
        <x:v>Perceived Threat Severity</x:v>
      </x:c>
      <x:c r="D13" s="43" t="str">
        <x:v>PSY-041</x:v>
      </x:c>
      <x:c r="E13" s="43" t="str">
        <x:v>Fear Intensity</x:v>
      </x:c>
      <x:c r="F13" s="43" t="str">
        <x:v>Candidate causal influence</x:v>
      </x:c>
      <x:c r="G13" s="43" t="str">
        <x:v>Positive</x:v>
      </x:c>
      <x:c r="H13" s="43" t="str">
        <x:v>Threshold / contingent</x:v>
      </x:c>
      <x:c r="I13" s="43" t="str">
        <x:v>Perceived likelihood, response efficacy, proximity, and personal relevance</x:v>
      </x:c>
      <x:c r="J13" s="43" t="str">
        <x:v>Seconds–Minutes</x:v>
      </x:c>
      <x:c r="K13" s="43" t="str">
        <x:v>Strong</x:v>
      </x:c>
      <x:c r="L13" s="43" t="str">
        <x:v>More severe perceived consequences can increase fear, conditional on vulnerability and relevance.</x:v>
      </x:c>
      <x:c r="M13" s="43" t="str">
        <x:v>SRC124; SRC175</x:v>
      </x:c>
    </x:row>
    <x:row r="14" ht="66" customHeight="1">
      <x:c r="A14" s="43" t="str">
        <x:v>REL-PSY-010</x:v>
      </x:c>
      <x:c r="B14" s="43" t="str">
        <x:v>PSY-010</x:v>
      </x:c>
      <x:c r="C14" s="43" t="str">
        <x:v>Response Efficacy</x:v>
      </x:c>
      <x:c r="D14" s="43" t="str">
        <x:v>PSY-026</x:v>
      </x:c>
      <x:c r="E14" s="43" t="str">
        <x:v>Intention Strength</x:v>
      </x:c>
      <x:c r="F14" s="43" t="str">
        <x:v>Candidate causal influence</x:v>
      </x:c>
      <x:c r="G14" s="43" t="str">
        <x:v>Positive</x:v>
      </x:c>
      <x:c r="H14" s="43" t="str">
        <x:v>Threshold then saturating</x:v>
      </x:c>
      <x:c r="I14" s="43" t="str">
        <x:v>Threat appraisal, self-efficacy, costs, and trust in recommendation</x:v>
      </x:c>
      <x:c r="J14" s="43" t="str">
        <x:v>Minutes–Hours</x:v>
      </x:c>
      <x:c r="K14" s="43" t="str">
        <x:v>Strong</x:v>
      </x:c>
      <x:c r="L14" s="43" t="str">
        <x:v>Believing the recommended response can work supports protective intention when the threat is relevant.</x:v>
      </x:c>
      <x:c r="M14" s="43" t="str">
        <x:v>SRC124; SRC175</x:v>
      </x:c>
    </x:row>
    <x:row r="15" ht="66" customHeight="1">
      <x:c r="A15" s="43" t="str">
        <x:v>REL-PSY-011</x:v>
      </x:c>
      <x:c r="B15" s="43" t="str">
        <x:v>PSY-014</x:v>
      </x:c>
      <x:c r="C15" s="43" t="str">
        <x:v>Coping Self-Efficacy</x:v>
      </x:c>
      <x:c r="D15" s="43" t="str">
        <x:v>PSY-015</x:v>
      </x:c>
      <x:c r="E15" s="43" t="str">
        <x:v>Perceived Helplessness</x:v>
      </x:c>
      <x:c r="F15" s="43" t="str">
        <x:v>Candidate causal influence</x:v>
      </x:c>
      <x:c r="G15" s="43" t="str">
        <x:v>Negative</x:v>
      </x:c>
      <x:c r="H15" s="43" t="str">
        <x:v>Generally monotonic</x:v>
      </x:c>
      <x:c r="I15" s="43" t="str">
        <x:v>Stressor controllability, resources, social support, and prior success</x:v>
      </x:c>
      <x:c r="J15" s="43" t="str">
        <x:v>Minutes–Hours</x:v>
      </x:c>
      <x:c r="K15" s="43" t="str">
        <x:v>Moderate</x:v>
      </x:c>
      <x:c r="L15" s="43" t="str">
        <x:v>Greater confidence in coping capacity can reduce expectations that action is futile.</x:v>
      </x:c>
      <x:c r="M15" s="43" t="str">
        <x:v>SRC111; SRC121</x:v>
      </x:c>
    </x:row>
    <x:row r="16" ht="66" customHeight="1">
      <x:c r="A16" s="43" t="str">
        <x:v>REL-PSY-012</x:v>
      </x:c>
      <x:c r="B16" s="43" t="str">
        <x:v>PSY-016</x:v>
      </x:c>
      <x:c r="C16" s="43" t="str">
        <x:v>Perceived Descriptive Norm</x:v>
      </x:c>
      <x:c r="D16" s="43" t="str">
        <x:v>PSY-026</x:v>
      </x:c>
      <x:c r="E16" s="43" t="str">
        <x:v>Intention Strength</x:v>
      </x:c>
      <x:c r="F16" s="43" t="str">
        <x:v>Candidate causal influence</x:v>
      </x:c>
      <x:c r="G16" s="43" t="str">
        <x:v>Positive</x:v>
      </x:c>
      <x:c r="H16" s="43" t="str">
        <x:v>Contingent</x:v>
      </x:c>
      <x:c r="I16" s="43" t="str">
        <x:v>Reference-group identification, norm visibility, behavior desirability, and actual opportunity</x:v>
      </x:c>
      <x:c r="J16" s="43" t="str">
        <x:v>Hours–Days</x:v>
      </x:c>
      <x:c r="K16" s="43" t="str">
        <x:v>Strong</x:v>
      </x:c>
      <x:c r="L16" s="43" t="str">
        <x:v>Believing that relevant others commonly perform a behavior can shift intention toward perceived typical action.</x:v>
      </x:c>
      <x:c r="M16" s="43" t="str">
        <x:v>SRC132; SRC170; SRC107</x:v>
      </x:c>
    </x:row>
    <x:row r="17" ht="66" customHeight="1">
      <x:c r="A17" s="43" t="str">
        <x:v>REL-PSY-013</x:v>
      </x:c>
      <x:c r="B17" s="43" t="str">
        <x:v>PSY-017</x:v>
      </x:c>
      <x:c r="C17" s="43" t="str">
        <x:v>Perceived Injunctive Norm</x:v>
      </x:c>
      <x:c r="D17" s="43" t="str">
        <x:v>PSY-026</x:v>
      </x:c>
      <x:c r="E17" s="43" t="str">
        <x:v>Intention Strength</x:v>
      </x:c>
      <x:c r="F17" s="43" t="str">
        <x:v>Candidate causal influence</x:v>
      </x:c>
      <x:c r="G17" s="43" t="str">
        <x:v>Positive</x:v>
      </x:c>
      <x:c r="H17" s="43" t="str">
        <x:v>Contingent</x:v>
      </x:c>
      <x:c r="I17" s="43" t="str">
        <x:v>Anticipated sanction, legitimacy, identification, autonomy, and privacy</x:v>
      </x:c>
      <x:c r="J17" s="43" t="str">
        <x:v>Hours–Days</x:v>
      </x:c>
      <x:c r="K17" s="43" t="str">
        <x:v>Strong</x:v>
      </x:c>
      <x:c r="L17" s="43" t="str">
        <x:v>Perceived approval by relevant others can strengthen intention through anticipated social consequences or obligation.</x:v>
      </x:c>
      <x:c r="M17" s="43" t="str">
        <x:v>SRC132; SRC110; SRC107</x:v>
      </x:c>
    </x:row>
    <x:row r="18" ht="66" customHeight="1">
      <x:c r="A18" s="43" t="str">
        <x:v>REL-PSY-014</x:v>
      </x:c>
      <x:c r="B18" s="43" t="str">
        <x:v>PSY-022</x:v>
      </x:c>
      <x:c r="C18" s="43" t="str">
        <x:v>Perceived Fairness</x:v>
      </x:c>
      <x:c r="D18" s="43" t="str">
        <x:v>PSY-023</x:v>
      </x:c>
      <x:c r="E18" s="43" t="str">
        <x:v>Perceived Legitimacy</x:v>
      </x:c>
      <x:c r="F18" s="43" t="str">
        <x:v>Candidate causal influence</x:v>
      </x:c>
      <x:c r="G18" s="43" t="str">
        <x:v>Positive</x:v>
      </x:c>
      <x:c r="H18" s="43" t="str">
        <x:v>Saturating</x:v>
      </x:c>
      <x:c r="I18" s="43" t="str">
        <x:v>Outcome favorability, prior trust, authority identity, and procedural visibility</x:v>
      </x:c>
      <x:c r="J18" s="43" t="str">
        <x:v>Hours–Days</x:v>
      </x:c>
      <x:c r="K18" s="43" t="str">
        <x:v>Strong</x:v>
      </x:c>
      <x:c r="L18" s="43" t="str">
        <x:v>Fair processes and treatment generally increase perceived rightfulness of the authority or decision.</x:v>
      </x:c>
      <x:c r="M18" s="43" t="str">
        <x:v>SRC133; SRC137</x:v>
      </x:c>
    </x:row>
    <x:row r="19" ht="66" customHeight="1">
      <x:c r="A19" s="43" t="str">
        <x:v>REL-PSY-015</x:v>
      </x:c>
      <x:c r="B19" s="43" t="str">
        <x:v>PSY-023</x:v>
      </x:c>
      <x:c r="C19" s="43" t="str">
        <x:v>Perceived Legitimacy</x:v>
      </x:c>
      <x:c r="D19" s="43" t="str">
        <x:v>PSY-026</x:v>
      </x:c>
      <x:c r="E19" s="43" t="str">
        <x:v>Intention Strength</x:v>
      </x:c>
      <x:c r="F19" s="43" t="str">
        <x:v>Candidate causal influence</x:v>
      </x:c>
      <x:c r="G19" s="43" t="str">
        <x:v>Positive</x:v>
      </x:c>
      <x:c r="H19" s="43" t="str">
        <x:v>Contingent</x:v>
      </x:c>
      <x:c r="I19" s="43" t="str">
        <x:v>Rule relevance, moral conviction, enforcement, costs, and alternative authorities</x:v>
      </x:c>
      <x:c r="J19" s="43" t="str">
        <x:v>Hours–Days</x:v>
      </x:c>
      <x:c r="K19" s="43" t="str">
        <x:v>Moderate</x:v>
      </x:c>
      <x:c r="L19" s="43" t="str">
        <x:v>Legitimacy can increase voluntary intention to comply with a specified rule or request.</x:v>
      </x:c>
      <x:c r="M19" s="43" t="str">
        <x:v>SRC137</x:v>
      </x:c>
    </x:row>
    <x:row r="20" ht="66" customHeight="1">
      <x:c r="A20" s="43" t="str">
        <x:v>REL-PSY-016</x:v>
      </x:c>
      <x:c r="B20" s="43" t="str">
        <x:v>PSY-019</x:v>
      </x:c>
      <x:c r="C20" s="43" t="str">
        <x:v>Perceived Social Support</x:v>
      </x:c>
      <x:c r="D20" s="43" t="str">
        <x:v>PSY-014</x:v>
      </x:c>
      <x:c r="E20" s="43" t="str">
        <x:v>Coping Self-Efficacy</x:v>
      </x:c>
      <x:c r="F20" s="43" t="str">
        <x:v>Candidate causal influence</x:v>
      </x:c>
      <x:c r="G20" s="43" t="str">
        <x:v>Positive</x:v>
      </x:c>
      <x:c r="H20" s="43" t="str">
        <x:v>Saturating</x:v>
      </x:c>
      <x:c r="I20" s="43" t="str">
        <x:v>Support fit, relationship trust, stressor type, and actual access</x:v>
      </x:c>
      <x:c r="J20" s="43" t="str">
        <x:v>Hours–Days</x:v>
      </x:c>
      <x:c r="K20" s="43" t="str">
        <x:v>Strong</x:v>
      </x:c>
      <x:c r="L20" s="43" t="str">
        <x:v>Expected access to appropriate support can increase perceived ability to manage a stressor.</x:v>
      </x:c>
      <x:c r="M20" s="43" t="str">
        <x:v>SRC134; SRC108</x:v>
      </x:c>
    </x:row>
    <x:row r="21" ht="66" customHeight="1">
      <x:c r="A21" s="43" t="str">
        <x:v>REL-PSY-017</x:v>
      </x:c>
      <x:c r="B21" s="43" t="str">
        <x:v>PSY-019</x:v>
      </x:c>
      <x:c r="C21" s="43" t="str">
        <x:v>Perceived Social Support</x:v>
      </x:c>
      <x:c r="D21" s="43" t="str">
        <x:v>PSY-054</x:v>
      </x:c>
      <x:c r="E21" s="43" t="str">
        <x:v>Perceived Stress</x:v>
      </x:c>
      <x:c r="F21" s="43" t="str">
        <x:v>Candidate causal influence</x:v>
      </x:c>
      <x:c r="G21" s="43" t="str">
        <x:v>Negative</x:v>
      </x:c>
      <x:c r="H21" s="43" t="str">
        <x:v>Stress-buffering / contingent</x:v>
      </x:c>
      <x:c r="I21" s="43" t="str">
        <x:v>Stressor intensity, support fit, controllability, and relationship quality</x:v>
      </x:c>
      <x:c r="J21" s="43" t="str">
        <x:v>Hours–Days</x:v>
      </x:c>
      <x:c r="K21" s="43" t="str">
        <x:v>Strong</x:v>
      </x:c>
      <x:c r="L21" s="43" t="str">
        <x:v>Perceived support can reduce appraised demand-resource imbalance, especially under high stress.</x:v>
      </x:c>
      <x:c r="M21" s="43" t="str">
        <x:v>SRC134</x:v>
      </x:c>
    </x:row>
    <x:row r="22" ht="66" customHeight="1">
      <x:c r="A22" s="43" t="str">
        <x:v>REL-PSY-018</x:v>
      </x:c>
      <x:c r="B22" s="43" t="str">
        <x:v>PSY-024</x:v>
      </x:c>
      <x:c r="C22" s="43" t="str">
        <x:v>Perceived Social Exclusion</x:v>
      </x:c>
      <x:c r="D22" s="43" t="str">
        <x:v>PSY-020</x:v>
      </x:c>
      <x:c r="E22" s="43" t="str">
        <x:v>Perceived Belonging</x:v>
      </x:c>
      <x:c r="F22" s="43" t="str">
        <x:v>Candidate causal influence</x:v>
      </x:c>
      <x:c r="G22" s="43" t="str">
        <x:v>Negative</x:v>
      </x:c>
      <x:c r="H22" s="43" t="str">
        <x:v>Threshold / time-dependent</x:v>
      </x:c>
      <x:c r="I22" s="43" t="str">
        <x:v>Exclusion duration, relationship value, attribution, and alternative groups</x:v>
      </x:c>
      <x:c r="J22" s="43" t="str">
        <x:v>Seconds–Minutes</x:v>
      </x:c>
      <x:c r="K22" s="43" t="str">
        <x:v>Strong</x:v>
      </x:c>
      <x:c r="L22" s="43" t="str">
        <x:v>Perceived rejection acutely lowers felt belonging; longer responses vary between affiliation and withdrawal.</x:v>
      </x:c>
      <x:c r="M22" s="43" t="str">
        <x:v>SRC135; SRC172</x:v>
      </x:c>
    </x:row>
    <x:row r="23" ht="66" customHeight="1">
      <x:c r="A23" s="43" t="str">
        <x:v>REL-PSY-019</x:v>
      </x:c>
      <x:c r="B23" s="43" t="str">
        <x:v>PSY-035</x:v>
      </x:c>
      <x:c r="C23" s="43" t="str">
        <x:v>Autonomy Need Satisfaction</x:v>
      </x:c>
      <x:c r="D23" s="43" t="str">
        <x:v>PSY-033</x:v>
      </x:c>
      <x:c r="E23" s="43" t="str">
        <x:v>Autonomous Motivation</x:v>
      </x:c>
      <x:c r="F23" s="43" t="str">
        <x:v>Candidate causal influence</x:v>
      </x:c>
      <x:c r="G23" s="43" t="str">
        <x:v>Positive</x:v>
      </x:c>
      <x:c r="H23" s="43" t="str">
        <x:v>Generally monotonic</x:v>
      </x:c>
      <x:c r="I23" s="43" t="str">
        <x:v>Cultural meaning, task structure, competence, and relatedness</x:v>
      </x:c>
      <x:c r="J23" s="43" t="str">
        <x:v>Hours–Days</x:v>
      </x:c>
      <x:c r="K23" s="43" t="str">
        <x:v>Strong</x:v>
      </x:c>
      <x:c r="L23" s="43" t="str">
        <x:v>Experienced volition supports self-endorsed regulation and internalization.</x:v>
      </x:c>
      <x:c r="M23" s="43" t="str">
        <x:v>SRC108; SRC138</x:v>
      </x:c>
    </x:row>
    <x:row r="24" ht="66" customHeight="1">
      <x:c r="A24" s="43" t="str">
        <x:v>REL-PSY-020</x:v>
      </x:c>
      <x:c r="B24" s="43" t="str">
        <x:v>PSY-036</x:v>
      </x:c>
      <x:c r="C24" s="43" t="str">
        <x:v>Competence Need Satisfaction</x:v>
      </x:c>
      <x:c r="D24" s="43" t="str">
        <x:v>PSY-032</x:v>
      </x:c>
      <x:c r="E24" s="43" t="str">
        <x:v>Intrinsic Motivation</x:v>
      </x:c>
      <x:c r="F24" s="43" t="str">
        <x:v>Candidate causal influence</x:v>
      </x:c>
      <x:c r="G24" s="43" t="str">
        <x:v>Positive</x:v>
      </x:c>
      <x:c r="H24" s="43" t="str">
        <x:v>Inverted-U</x:v>
      </x:c>
      <x:c r="I24" s="43" t="str">
        <x:v>Challenge-skill balance, feedback, autonomy, and task meaning</x:v>
      </x:c>
      <x:c r="J24" s="43" t="str">
        <x:v>Hours–Days</x:v>
      </x:c>
      <x:c r="K24" s="43" t="str">
        <x:v>Strong</x:v>
      </x:c>
      <x:c r="L24" s="43" t="str">
        <x:v>Feeling effective can support interest, particularly when challenge is meaningful and not overwhelming.</x:v>
      </x:c>
      <x:c r="M24" s="43" t="str">
        <x:v>SRC108; SRC138</x:v>
      </x:c>
    </x:row>
    <x:row r="25" ht="66" customHeight="1">
      <x:c r="A25" s="43" t="str">
        <x:v>REL-PSY-021</x:v>
      </x:c>
      <x:c r="B25" s="43" t="str">
        <x:v>PSY-028</x:v>
      </x:c>
      <x:c r="C25" s="43" t="str">
        <x:v>Goal Specificity</x:v>
      </x:c>
      <x:c r="D25" s="43" t="str">
        <x:v>PSY-077</x:v>
      </x:c>
      <x:c r="E25" s="43" t="str">
        <x:v>Self-Monitoring Intensity</x:v>
      </x:c>
      <x:c r="F25" s="43" t="str">
        <x:v>Candidate causal influence</x:v>
      </x:c>
      <x:c r="G25" s="43" t="str">
        <x:v>Positive</x:v>
      </x:c>
      <x:c r="H25" s="43" t="str">
        <x:v>Threshold</x:v>
      </x:c>
      <x:c r="I25" s="43" t="str">
        <x:v>Feedback availability, goal commitment, and task complexity</x:v>
      </x:c>
      <x:c r="J25" s="43" t="str">
        <x:v>Hours–Days</x:v>
      </x:c>
      <x:c r="K25" s="43" t="str">
        <x:v>Moderate</x:v>
      </x:c>
      <x:c r="L25" s="43" t="str">
        <x:v>Specific targets make comparison and progress monitoring easier than vague goals.</x:v>
      </x:c>
      <x:c r="M25" s="43" t="str">
        <x:v>SRC118; SRC139</x:v>
      </x:c>
    </x:row>
    <x:row r="26" ht="66" customHeight="1">
      <x:c r="A26" s="43" t="str">
        <x:v>REL-PSY-022</x:v>
      </x:c>
      <x:c r="B26" s="43" t="str">
        <x:v>PSY-029</x:v>
      </x:c>
      <x:c r="C26" s="43" t="str">
        <x:v>Goal Difficulty</x:v>
      </x:c>
      <x:c r="D26" s="43" t="str">
        <x:v>PSY-027</x:v>
      </x:c>
      <x:c r="E26" s="43" t="str">
        <x:v>Goal Commitment</x:v>
      </x:c>
      <x:c r="F26" s="43" t="str">
        <x:v>Candidate causal influence</x:v>
      </x:c>
      <x:c r="G26" s="43" t="str">
        <x:v>Inverted-U</x:v>
      </x:c>
      <x:c r="H26" s="43" t="str">
        <x:v>Inverted-U / feasibility threshold</x:v>
      </x:c>
      <x:c r="I26" s="43" t="str">
        <x:v>Self-efficacy, rewards, participation, feedback, and task complexity</x:v>
      </x:c>
      <x:c r="J26" s="43" t="str">
        <x:v>Hours–Days</x:v>
      </x:c>
      <x:c r="K26" s="43" t="str">
        <x:v>Strong</x:v>
      </x:c>
      <x:c r="L26" s="43" t="str">
        <x:v>Challenging goals can mobilize commitment when accepted and attainable; infeasible goals can reduce it.</x:v>
      </x:c>
      <x:c r="M26" s="43" t="str">
        <x:v>SRC118; SRC111</x:v>
      </x:c>
    </x:row>
    <x:row r="27" ht="66" customHeight="1">
      <x:c r="A27" s="43" t="str">
        <x:v>REL-PSY-023</x:v>
      </x:c>
      <x:c r="B27" s="43" t="str">
        <x:v>PSY-030</x:v>
      </x:c>
      <x:c r="C27" s="43" t="str">
        <x:v>Goal Conflict</x:v>
      </x:c>
      <x:c r="D27" s="43" t="str">
        <x:v>PSY-026</x:v>
      </x:c>
      <x:c r="E27" s="43" t="str">
        <x:v>Intention Strength</x:v>
      </x:c>
      <x:c r="F27" s="43" t="str">
        <x:v>Candidate causal influence</x:v>
      </x:c>
      <x:c r="G27" s="43" t="str">
        <x:v>Negative</x:v>
      </x:c>
      <x:c r="H27" s="43" t="str">
        <x:v>Threshold / contingent</x:v>
      </x:c>
      <x:c r="I27" s="43" t="str">
        <x:v>Goal priority, resource scarcity, planning, and identity centrality</x:v>
      </x:c>
      <x:c r="J27" s="43" t="str">
        <x:v>Minutes–Hours</x:v>
      </x:c>
      <x:c r="K27" s="43" t="str">
        <x:v>Moderate</x:v>
      </x:c>
      <x:c r="L27" s="43" t="str">
        <x:v>Incompatibility among active goals can weaken or destabilize intention for any one action.</x:v>
      </x:c>
      <x:c r="M27" s="43" t="str">
        <x:v>SRC118; SRC109</x:v>
      </x:c>
    </x:row>
    <x:row r="28" ht="66" customHeight="1">
      <x:c r="A28" s="43" t="str">
        <x:v>REL-PSY-024</x:v>
      </x:c>
      <x:c r="B28" s="43" t="str">
        <x:v>PSY-040</x:v>
      </x:c>
      <x:c r="C28" s="43" t="str">
        <x:v>Anticipated Regret</x:v>
      </x:c>
      <x:c r="D28" s="43" t="str">
        <x:v>PSY-026</x:v>
      </x:c>
      <x:c r="E28" s="43" t="str">
        <x:v>Intention Strength</x:v>
      </x:c>
      <x:c r="F28" s="43" t="str">
        <x:v>Candidate causal influence</x:v>
      </x:c>
      <x:c r="G28" s="43" t="str">
        <x:v>Positive</x:v>
      </x:c>
      <x:c r="H28" s="43" t="str">
        <x:v>Contingent</x:v>
      </x:c>
      <x:c r="I28" s="43" t="str">
        <x:v>Action versus omission framing, time horizon, perceived control, and outcome probability</x:v>
      </x:c>
      <x:c r="J28" s="43" t="str">
        <x:v>Minutes–Hours</x:v>
      </x:c>
      <x:c r="K28" s="43" t="str">
        <x:v>Strong</x:v>
      </x:c>
      <x:c r="L28" s="43" t="str">
        <x:v>Expected regret from not acting can strengthen preventive or goal-consistent intention.</x:v>
      </x:c>
      <x:c r="M28" s="43" t="str">
        <x:v>SRC140; SRC141</x:v>
      </x:c>
    </x:row>
    <x:row r="29" ht="66" customHeight="1">
      <x:c r="A29" s="43" t="str">
        <x:v>REL-PSY-025</x:v>
      </x:c>
      <x:c r="B29" s="43" t="str">
        <x:v>PSY-042</x:v>
      </x:c>
      <x:c r="C29" s="43" t="str">
        <x:v>Anxiety Intensity</x:v>
      </x:c>
      <x:c r="D29" s="43" t="str">
        <x:v>PSY-058</x:v>
      </x:c>
      <x:c r="E29" s="43" t="str">
        <x:v>Working Memory Availability</x:v>
      </x:c>
      <x:c r="F29" s="43" t="str">
        <x:v>Candidate causal influence</x:v>
      </x:c>
      <x:c r="G29" s="43" t="str">
        <x:v>Negative</x:v>
      </x:c>
      <x:c r="H29" s="43" t="str">
        <x:v>Load-dependent</x:v>
      </x:c>
      <x:c r="I29" s="43" t="str">
        <x:v>Task demand, worry, attentional control, arousal, and compensatory effort</x:v>
      </x:c>
      <x:c r="J29" s="43" t="str">
        <x:v>Seconds–Minutes</x:v>
      </x:c>
      <x:c r="K29" s="43" t="str">
        <x:v>Strong</x:v>
      </x:c>
      <x:c r="L29" s="43" t="str">
        <x:v>Anxiety-related worry and threat monitoring consume resources and reduce available working memory on demanding tasks.</x:v>
      </x:c>
      <x:c r="M29" s="43" t="str">
        <x:v>SRC147; SRC148</x:v>
      </x:c>
    </x:row>
    <x:row r="30" ht="66" customHeight="1">
      <x:c r="A30" s="43" t="str">
        <x:v>REL-PSY-026</x:v>
      </x:c>
      <x:c r="B30" s="43" t="str">
        <x:v>PSY-041</x:v>
      </x:c>
      <x:c r="C30" s="43" t="str">
        <x:v>Fear Intensity</x:v>
      </x:c>
      <x:c r="D30" s="43" t="str">
        <x:v>PSY-086</x:v>
      </x:c>
      <x:c r="E30" s="43" t="str">
        <x:v>Risk Preference</x:v>
      </x:c>
      <x:c r="F30" s="43" t="str">
        <x:v>Candidate causal influence</x:v>
      </x:c>
      <x:c r="G30" s="43" t="str">
        <x:v>Negative</x:v>
      </x:c>
      <x:c r="H30" s="43" t="str">
        <x:v>Contingent</x:v>
      </x:c>
      <x:c r="I30" s="43" t="str">
        <x:v>Appraised certainty/control, target relevance, domain, and regulation</x:v>
      </x:c>
      <x:c r="J30" s="43" t="str">
        <x:v>Seconds–Minutes</x:v>
      </x:c>
      <x:c r="K30" s="43" t="str">
        <x:v>Moderate</x:v>
      </x:c>
      <x:c r="L30" s="43" t="str">
        <x:v>Fear often promotes pessimistic risk appraisal and risk avoidance, but the effect is appraisal- and domain-specific.</x:v>
      </x:c>
      <x:c r="M30" s="43" t="str">
        <x:v>SRC176; SRC115</x:v>
      </x:c>
    </x:row>
    <x:row r="31" ht="66" customHeight="1">
      <x:c r="A31" s="43" t="str">
        <x:v>REL-PSY-027</x:v>
      </x:c>
      <x:c r="B31" s="43" t="str">
        <x:v>PSY-043</x:v>
      </x:c>
      <x:c r="C31" s="43" t="str">
        <x:v>Anger Intensity</x:v>
      </x:c>
      <x:c r="D31" s="43" t="str">
        <x:v>PSY-086</x:v>
      </x:c>
      <x:c r="E31" s="43" t="str">
        <x:v>Risk Preference</x:v>
      </x:c>
      <x:c r="F31" s="43" t="str">
        <x:v>Candidate causal influence</x:v>
      </x:c>
      <x:c r="G31" s="43" t="str">
        <x:v>Positive</x:v>
      </x:c>
      <x:c r="H31" s="43" t="str">
        <x:v>Contingent</x:v>
      </x:c>
      <x:c r="I31" s="43" t="str">
        <x:v>Appraised certainty/control, target, accountability, and domain</x:v>
      </x:c>
      <x:c r="J31" s="43" t="str">
        <x:v>Seconds–Minutes</x:v>
      </x:c>
      <x:c r="K31" s="43" t="str">
        <x:v>Moderate</x:v>
      </x:c>
      <x:c r="L31" s="43" t="str">
        <x:v>Anger can increase optimistic risk appraisal and risk seeking relative to fear under studied conditions.</x:v>
      </x:c>
      <x:c r="M31" s="43" t="str">
        <x:v>SRC176; SRC115</x:v>
      </x:c>
    </x:row>
    <x:row r="32" ht="66" customHeight="1">
      <x:c r="A32" s="43" t="str">
        <x:v>REL-PSY-028</x:v>
      </x:c>
      <x:c r="B32" s="43" t="str">
        <x:v>PSY-057</x:v>
      </x:c>
      <x:c r="C32" s="43" t="str">
        <x:v>Cognitive Load</x:v>
      </x:c>
      <x:c r="D32" s="43" t="str">
        <x:v>PSY-058</x:v>
      </x:c>
      <x:c r="E32" s="43" t="str">
        <x:v>Working Memory Availability</x:v>
      </x:c>
      <x:c r="F32" s="43" t="str">
        <x:v>Candidate causal influence</x:v>
      </x:c>
      <x:c r="G32" s="43" t="str">
        <x:v>Negative</x:v>
      </x:c>
      <x:c r="H32" s="43" t="str">
        <x:v>Capacity constrained</x:v>
      </x:c>
      <x:c r="I32" s="43" t="str">
        <x:v>Task complexity, expertise, fatigue, modality, and strategy</x:v>
      </x:c>
      <x:c r="J32" s="43" t="str">
        <x:v>Seconds–Minutes</x:v>
      </x:c>
      <x:c r="K32" s="43" t="str">
        <x:v>Strong</x:v>
      </x:c>
      <x:c r="L32" s="43" t="str">
        <x:v>Greater concurrent processing demand leaves less capacity available for maintaining and manipulating task information.</x:v>
      </x:c>
      <x:c r="M32" s="43" t="str">
        <x:v>SRC149; SRC147</x:v>
      </x:c>
    </x:row>
    <x:row r="33" ht="66" customHeight="1">
      <x:c r="A33" s="43" t="str">
        <x:v>REL-PSY-029</x:v>
      </x:c>
      <x:c r="B33" s="43" t="str">
        <x:v>PSY-058</x:v>
      </x:c>
      <x:c r="C33" s="43" t="str">
        <x:v>Working Memory Availability</x:v>
      </x:c>
      <x:c r="D33" s="43" t="str">
        <x:v>PSY-059</x:v>
      </x:c>
      <x:c r="E33" s="43" t="str">
        <x:v>Elaboration Depth</x:v>
      </x:c>
      <x:c r="F33" s="43" t="str">
        <x:v>Enabling influence</x:v>
      </x:c>
      <x:c r="G33" s="43" t="str">
        <x:v>Positive</x:v>
      </x:c>
      <x:c r="H33" s="43" t="str">
        <x:v>Threshold / saturating</x:v>
      </x:c>
      <x:c r="I33" s="43" t="str">
        <x:v>Motivation, need for cognition, time pressure, and domain knowledge</x:v>
      </x:c>
      <x:c r="J33" s="43" t="str">
        <x:v>Seconds–Minutes</x:v>
      </x:c>
      <x:c r="K33" s="43" t="str">
        <x:v>Strong</x:v>
      </x:c>
      <x:c r="L33" s="43" t="str">
        <x:v>Available capacity enables integration and issue-relevant thought but does not guarantee motivation to elaborate.</x:v>
      </x:c>
      <x:c r="M33" s="43" t="str">
        <x:v>SRC149; SRC117</x:v>
      </x:c>
    </x:row>
    <x:row r="34" ht="66" customHeight="1">
      <x:c r="A34" s="43" t="str">
        <x:v>REL-PSY-030</x:v>
      </x:c>
      <x:c r="B34" s="43" t="str">
        <x:v>PSY-129</x:v>
      </x:c>
      <x:c r="C34" s="43" t="str">
        <x:v>Need for Cognition</x:v>
      </x:c>
      <x:c r="D34" s="43" t="str">
        <x:v>PSY-059</x:v>
      </x:c>
      <x:c r="E34" s="43" t="str">
        <x:v>Elaboration Depth</x:v>
      </x:c>
      <x:c r="F34" s="43" t="str">
        <x:v>Moderating influence</x:v>
      </x:c>
      <x:c r="G34" s="43" t="str">
        <x:v>Positive</x:v>
      </x:c>
      <x:c r="H34" s="43" t="str">
        <x:v>Contingent</x:v>
      </x:c>
      <x:c r="I34" s="43" t="str">
        <x:v>Perceived relevance, ability, time pressure, and accountability</x:v>
      </x:c>
      <x:c r="J34" s="43" t="str">
        <x:v>Seconds–Minutes</x:v>
      </x:c>
      <x:c r="K34" s="43" t="str">
        <x:v>Strong</x:v>
      </x:c>
      <x:c r="L34" s="43" t="str">
        <x:v>People higher in need for cognition tend to engage more deeply when effortful thought is possible and relevant.</x:v>
      </x:c>
      <x:c r="M34" s="43" t="str">
        <x:v>SRC162; SRC117</x:v>
      </x:c>
    </x:row>
    <x:row r="35" ht="66" customHeight="1">
      <x:c r="A35" s="43" t="str">
        <x:v>REL-PSY-031</x:v>
      </x:c>
      <x:c r="B35" s="43" t="str">
        <x:v>PSY-061</x:v>
      </x:c>
      <x:c r="C35" s="43" t="str">
        <x:v>Processing Fluency</x:v>
      </x:c>
      <x:c r="D35" s="43" t="str">
        <x:v>PSY-067</x:v>
      </x:c>
      <x:c r="E35" s="43" t="str">
        <x:v>Familiarity</x:v>
      </x:c>
      <x:c r="F35" s="43" t="str">
        <x:v>Candidate causal influence</x:v>
      </x:c>
      <x:c r="G35" s="43" t="str">
        <x:v>Positive</x:v>
      </x:c>
      <x:c r="H35" s="43" t="str">
        <x:v>Saturating</x:v>
      </x:c>
      <x:c r="I35" s="43" t="str">
        <x:v>Attribution of ease, prior exposure, expectation, and stimulus type</x:v>
      </x:c>
      <x:c r="J35" s="43" t="str">
        <x:v>Seconds–Minutes</x:v>
      </x:c>
      <x:c r="K35" s="43" t="str">
        <x:v>Strong</x:v>
      </x:c>
      <x:c r="L35" s="43" t="str">
        <x:v>Ease of processing can be misattributed to prior exposure and increase subjective familiarity.</x:v>
      </x:c>
      <x:c r="M35" s="43" t="str">
        <x:v>SRC125; SRC171</x:v>
      </x:c>
    </x:row>
    <x:row r="36" ht="66" customHeight="1">
      <x:c r="A36" s="43" t="str">
        <x:v>REL-PSY-032</x:v>
      </x:c>
      <x:c r="B36" s="43" t="str">
        <x:v>PSY-061</x:v>
      </x:c>
      <x:c r="C36" s="43" t="str">
        <x:v>Processing Fluency</x:v>
      </x:c>
      <x:c r="D36" s="43" t="str">
        <x:v>PSY-116</x:v>
      </x:c>
      <x:c r="E36" s="43" t="str">
        <x:v>Metacognitive Confidence</x:v>
      </x:c>
      <x:c r="F36" s="43" t="str">
        <x:v>Candidate causal influence</x:v>
      </x:c>
      <x:c r="G36" s="43" t="str">
        <x:v>Positive</x:v>
      </x:c>
      <x:c r="H36" s="43" t="str">
        <x:v>Contingent</x:v>
      </x:c>
      <x:c r="I36" s="43" t="str">
        <x:v>Attribution, task expectations, accuracy feedback, and domain</x:v>
      </x:c>
      <x:c r="J36" s="43" t="str">
        <x:v>Seconds–Minutes</x:v>
      </x:c>
      <x:c r="K36" s="43" t="str">
        <x:v>Moderate</x:v>
      </x:c>
      <x:c r="L36" s="43" t="str">
        <x:v>Processing ease can increase confidence when interpreted as evidence of coherent or accurate thought.</x:v>
      </x:c>
      <x:c r="M36" s="43" t="str">
        <x:v>SRC125; SRC169</x:v>
      </x:c>
    </x:row>
    <x:row r="37" ht="66" customHeight="1">
      <x:c r="A37" s="43" t="str">
        <x:v>REL-PSY-033</x:v>
      </x:c>
      <x:c r="B37" s="43" t="str">
        <x:v>PSY-069</x:v>
      </x:c>
      <x:c r="C37" s="43" t="str">
        <x:v>Prior-Belief Congruence</x:v>
      </x:c>
      <x:c r="D37" s="43" t="str">
        <x:v>PSY-115</x:v>
      </x:c>
      <x:c r="E37" s="43" t="str">
        <x:v>Counterarguing Intensity</x:v>
      </x:c>
      <x:c r="F37" s="43" t="str">
        <x:v>Candidate causal influence</x:v>
      </x:c>
      <x:c r="G37" s="43" t="str">
        <x:v>Negative</x:v>
      </x:c>
      <x:c r="H37" s="43" t="str">
        <x:v>Threshold / asymmetric</x:v>
      </x:c>
      <x:c r="I37" s="43" t="str">
        <x:v>Belief strength, moral conviction, accountability, involvement, and source credibility</x:v>
      </x:c>
      <x:c r="J37" s="43" t="str">
        <x:v>Seconds–Minutes</x:v>
      </x:c>
      <x:c r="K37" s="43" t="str">
        <x:v>Strong</x:v>
      </x:c>
      <x:c r="L37" s="43" t="str">
        <x:v>Information that contradicts strong prior beliefs often elicits more counterarguing than congruent information.</x:v>
      </x:c>
      <x:c r="M37" s="43" t="str">
        <x:v>SRC153; SRC117</x:v>
      </x:c>
    </x:row>
    <x:row r="38" ht="66" customHeight="1">
      <x:c r="A38" s="43" t="str">
        <x:v>REL-PSY-034</x:v>
      </x:c>
      <x:c r="B38" s="43" t="str">
        <x:v>PSY-070</x:v>
      </x:c>
      <x:c r="C38" s="43" t="str">
        <x:v>Habit Strength</x:v>
      </x:c>
      <x:c r="D38" s="43" t="str">
        <x:v>PSY-071</x:v>
      </x:c>
      <x:c r="E38" s="43" t="str">
        <x:v>Behavioral Automaticity</x:v>
      </x:c>
      <x:c r="F38" s="43" t="str">
        <x:v>Candidate causal influence</x:v>
      </x:c>
      <x:c r="G38" s="43" t="str">
        <x:v>Positive</x:v>
      </x:c>
      <x:c r="H38" s="43" t="str">
        <x:v>Saturating</x:v>
      </x:c>
      <x:c r="I38" s="43" t="str">
        <x:v>Context stability, repetition, goal consistency, and stress</x:v>
      </x:c>
      <x:c r="J38" s="43" t="str">
        <x:v>Seconds–Minutes</x:v>
      </x:c>
      <x:c r="K38" s="43" t="str">
        <x:v>Strong</x:v>
      </x:c>
      <x:c r="L38" s="43" t="str">
        <x:v>Stronger context-linked habits generally show more automatic initiation, though the constructs are not identical.</x:v>
      </x:c>
      <x:c r="M38" s="43" t="str">
        <x:v>SRC116; SRC154</x:v>
      </x:c>
    </x:row>
    <x:row r="39" ht="66" customHeight="1">
      <x:c r="A39" s="43" t="str">
        <x:v>REL-PSY-035</x:v>
      </x:c>
      <x:c r="B39" s="43" t="str">
        <x:v>PSY-072</x:v>
      </x:c>
      <x:c r="C39" s="43" t="str">
        <x:v>Cue–Response Association Strength</x:v>
      </x:c>
      <x:c r="D39" s="43" t="str">
        <x:v>PSY-071</x:v>
      </x:c>
      <x:c r="E39" s="43" t="str">
        <x:v>Behavioral Automaticity</x:v>
      </x:c>
      <x:c r="F39" s="43" t="str">
        <x:v>Candidate causal influence</x:v>
      </x:c>
      <x:c r="G39" s="43" t="str">
        <x:v>Positive</x:v>
      </x:c>
      <x:c r="H39" s="43" t="str">
        <x:v>Threshold then saturating</x:v>
      </x:c>
      <x:c r="I39" s="43" t="str">
        <x:v>Cue specificity, competing responses, context stability, and inhibition</x:v>
      </x:c>
      <x:c r="J39" s="43" t="str">
        <x:v>Seconds–Minutes</x:v>
      </x:c>
      <x:c r="K39" s="43" t="str">
        <x:v>Strong</x:v>
      </x:c>
      <x:c r="L39" s="43" t="str">
        <x:v>Stronger learned cue–response links increase rapid cue-driven activation of the response.</x:v>
      </x:c>
      <x:c r="M39" s="43" t="str">
        <x:v>SRC116; SRC120</x:v>
      </x:c>
    </x:row>
    <x:row r="40" ht="66" customHeight="1">
      <x:c r="A40" s="43" t="str">
        <x:v>REL-PSY-036</x:v>
      </x:c>
      <x:c r="B40" s="43" t="str">
        <x:v>PSY-075</x:v>
      </x:c>
      <x:c r="C40" s="43" t="str">
        <x:v>Implementation Intention Strength</x:v>
      </x:c>
      <x:c r="D40" s="43" t="str">
        <x:v>PSY-072</x:v>
      </x:c>
      <x:c r="E40" s="43" t="str">
        <x:v>Cue–Response Association Strength</x:v>
      </x:c>
      <x:c r="F40" s="43" t="str">
        <x:v>Candidate causal influence</x:v>
      </x:c>
      <x:c r="G40" s="43" t="str">
        <x:v>Positive</x:v>
      </x:c>
      <x:c r="H40" s="43" t="str">
        <x:v>Threshold</x:v>
      </x:c>
      <x:c r="I40" s="43" t="str">
        <x:v>Goal activation, plan specificity, cue occurrence, and feasibility</x:v>
      </x:c>
      <x:c r="J40" s="43" t="str">
        <x:v>Hours–Days</x:v>
      </x:c>
      <x:c r="K40" s="43" t="str">
        <x:v>Strong</x:v>
      </x:c>
      <x:c r="L40" s="43" t="str">
        <x:v>Repeated or strongly encoded if–then planning increases accessibility of the critical cue and linked response.</x:v>
      </x:c>
      <x:c r="M40" s="43" t="str">
        <x:v>SRC114; SRC120; SRC155</x:v>
      </x:c>
    </x:row>
    <x:row r="41" ht="66" customHeight="1">
      <x:c r="A41" s="43" t="str">
        <x:v>REL-PSY-037</x:v>
      </x:c>
      <x:c r="B41" s="43" t="str">
        <x:v>PSY-077</x:v>
      </x:c>
      <x:c r="C41" s="43" t="str">
        <x:v>Self-Monitoring Intensity</x:v>
      </x:c>
      <x:c r="D41" s="43" t="str">
        <x:v>PSY-078</x:v>
      </x:c>
      <x:c r="E41" s="43" t="str">
        <x:v>Goal–State Discrepancy</x:v>
      </x:c>
      <x:c r="F41" s="43" t="str">
        <x:v>Regulatory influence</x:v>
      </x:c>
      <x:c r="G41" s="43" t="str">
        <x:v>Negative</x:v>
      </x:c>
      <x:c r="H41" s="43" t="str">
        <x:v>Feedback-control / time-dependent</x:v>
      </x:c>
      <x:c r="I41" s="43" t="str">
        <x:v>Goal specificity, feedback accuracy, self-efficacy, and corrective options</x:v>
      </x:c>
      <x:c r="J41" s="43" t="str">
        <x:v>Days–Weeks</x:v>
      </x:c>
      <x:c r="K41" s="43" t="str">
        <x:v>Strong</x:v>
      </x:c>
      <x:c r="L41" s="43" t="str">
        <x:v>Monitoring makes discrepancies detectable and supports corrective action that can reduce the gap over time.</x:v>
      </x:c>
      <x:c r="M41" s="43" t="str">
        <x:v>SRC139; SRC185</x:v>
      </x:c>
    </x:row>
    <x:row r="42" ht="66" customHeight="1">
      <x:c r="A42" s="43" t="str">
        <x:v>REL-PSY-038</x:v>
      </x:c>
      <x:c r="B42" s="43" t="str">
        <x:v>PSY-079</x:v>
      </x:c>
      <x:c r="C42" s="43" t="str">
        <x:v>Emotion Regulation Capacity</x:v>
      </x:c>
      <x:c r="D42" s="43" t="str">
        <x:v>PSY-043</x:v>
      </x:c>
      <x:c r="E42" s="43" t="str">
        <x:v>Anger Intensity</x:v>
      </x:c>
      <x:c r="F42" s="43" t="str">
        <x:v>Regulatory influence</x:v>
      </x:c>
      <x:c r="G42" s="43" t="str">
        <x:v>Negative</x:v>
      </x:c>
      <x:c r="H42" s="43" t="str">
        <x:v>Strategy- and timing-dependent</x:v>
      </x:c>
      <x:c r="I42" s="43" t="str">
        <x:v>Strategy, target, appraisal, intensity, social context, and goals</x:v>
      </x:c>
      <x:c r="J42" s="43" t="str">
        <x:v>Minutes–Hours</x:v>
      </x:c>
      <x:c r="K42" s="43" t="str">
        <x:v>Strong</x:v>
      </x:c>
      <x:c r="L42" s="43" t="str">
        <x:v>Effective regulation can reduce or redirect anger, but suppression and reappraisal have different effects.</x:v>
      </x:c>
      <x:c r="M42" s="43" t="str">
        <x:v>SRC121; SRC143; SRC144</x:v>
      </x:c>
    </x:row>
    <x:row r="43" ht="66" customHeight="1">
      <x:c r="A43" s="43" t="str">
        <x:v>REL-PSY-039</x:v>
      </x:c>
      <x:c r="B43" s="43" t="str">
        <x:v>PSY-080</x:v>
      </x:c>
      <x:c r="C43" s="43" t="str">
        <x:v>Attentional Control Capacity</x:v>
      </x:c>
      <x:c r="D43" s="43" t="str">
        <x:v>PSY-058</x:v>
      </x:c>
      <x:c r="E43" s="43" t="str">
        <x:v>Working Memory Availability</x:v>
      </x:c>
      <x:c r="F43" s="43" t="str">
        <x:v>Protective influence</x:v>
      </x:c>
      <x:c r="G43" s="43" t="str">
        <x:v>Positive</x:v>
      </x:c>
      <x:c r="H43" s="43" t="str">
        <x:v>Load-dependent</x:v>
      </x:c>
      <x:c r="I43" s="43" t="str">
        <x:v>Anxiety, distraction, task demand, fatigue, and motivation</x:v>
      </x:c>
      <x:c r="J43" s="43" t="str">
        <x:v>Seconds–Minutes</x:v>
      </x:c>
      <x:c r="K43" s="43" t="str">
        <x:v>Strong</x:v>
      </x:c>
      <x:c r="L43" s="43" t="str">
        <x:v>Goal-directed attention protects working memory from competing stimuli and worry.</x:v>
      </x:c>
      <x:c r="M43" s="43" t="str">
        <x:v>SRC148; SRC149</x:v>
      </x:c>
    </x:row>
    <x:row r="44" ht="66" customHeight="1">
      <x:c r="A44" s="43" t="str">
        <x:v>REL-PSY-040</x:v>
      </x:c>
      <x:c r="B44" s="43" t="str">
        <x:v>PSY-125</x:v>
      </x:c>
      <x:c r="C44" s="43" t="str">
        <x:v>Trait Impulsivity</x:v>
      </x:c>
      <x:c r="D44" s="43" t="str">
        <x:v>PSY-090</x:v>
      </x:c>
      <x:c r="E44" s="43" t="str">
        <x:v>Present Bias</x:v>
      </x:c>
      <x:c r="F44" s="43" t="str">
        <x:v>Predisposing influence</x:v>
      </x:c>
      <x:c r="G44" s="43" t="str">
        <x:v>Positive</x:v>
      </x:c>
      <x:c r="H44" s="43" t="str">
        <x:v>Contingent</x:v>
      </x:c>
      <x:c r="I44" s="43" t="str">
        <x:v>Reward magnitude, stress, delay, domain, and current control capacity</x:v>
      </x:c>
      <x:c r="J44" s="43" t="str">
        <x:v>Mixed / Context-dependent</x:v>
      </x:c>
      <x:c r="K44" s="43" t="str">
        <x:v>Moderate</x:v>
      </x:c>
      <x:c r="L44" s="43" t="str">
        <x:v>Higher impulsive tendencies are associated with greater weighting of immediate outcomes, but measures overlap imperfectly.</x:v>
      </x:c>
      <x:c r="M44" s="43" t="str">
        <x:v>SRC205; SRC126</x:v>
      </x:c>
    </x:row>
    <x:row r="45" ht="66" customHeight="1">
      <x:c r="A45" s="43" t="str">
        <x:v>REL-PSY-041</x:v>
      </x:c>
      <x:c r="B45" s="43" t="str">
        <x:v>PSY-127</x:v>
      </x:c>
      <x:c r="C45" s="43" t="str">
        <x:v>Reward Sensitivity</x:v>
      </x:c>
      <x:c r="D45" s="43" t="str">
        <x:v>PSY-038</x:v>
      </x:c>
      <x:c r="E45" s="43" t="str">
        <x:v>Approach Motivation</x:v>
      </x:c>
      <x:c r="F45" s="43" t="str">
        <x:v>Predisposing influence</x:v>
      </x:c>
      <x:c r="G45" s="43" t="str">
        <x:v>Positive</x:v>
      </x:c>
      <x:c r="H45" s="43" t="str">
        <x:v>Threshold / contingent</x:v>
      </x:c>
      <x:c r="I45" s="43" t="str">
        <x:v>Reward probability, deprivation, identity, effort cost, and context</x:v>
      </x:c>
      <x:c r="J45" s="43" t="str">
        <x:v>Seconds–Minutes</x:v>
      </x:c>
      <x:c r="K45" s="43" t="str">
        <x:v>Moderate</x:v>
      </x:c>
      <x:c r="L45" s="43" t="str">
        <x:v>Greater reward sensitivity amplifies activation to reward cues and supports approach motivation.</x:v>
      </x:c>
      <x:c r="M45" s="43" t="str">
        <x:v>SRC163</x:v>
      </x:c>
    </x:row>
    <x:row r="46" ht="66" customHeight="1">
      <x:c r="A46" s="43" t="str">
        <x:v>REL-PSY-042</x:v>
      </x:c>
      <x:c r="B46" s="43" t="str">
        <x:v>PSY-128</x:v>
      </x:c>
      <x:c r="C46" s="43" t="str">
        <x:v>Punishment Sensitivity</x:v>
      </x:c>
      <x:c r="D46" s="43" t="str">
        <x:v>PSY-042</x:v>
      </x:c>
      <x:c r="E46" s="43" t="str">
        <x:v>Anxiety Intensity</x:v>
      </x:c>
      <x:c r="F46" s="43" t="str">
        <x:v>Predisposing influence</x:v>
      </x:c>
      <x:c r="G46" s="43" t="str">
        <x:v>Positive</x:v>
      </x:c>
      <x:c r="H46" s="43" t="str">
        <x:v>Contingent</x:v>
      </x:c>
      <x:c r="I46" s="43" t="str">
        <x:v>Threat ambiguity, control, prior learning, and current stress</x:v>
      </x:c>
      <x:c r="J46" s="43" t="str">
        <x:v>Seconds–Minutes</x:v>
      </x:c>
      <x:c r="K46" s="43" t="str">
        <x:v>Moderate</x:v>
      </x:c>
      <x:c r="L46" s="43" t="str">
        <x:v>Greater punishment sensitivity increases anxious apprehension under conflict or possible threat.</x:v>
      </x:c>
      <x:c r="M46" s="43" t="str">
        <x:v>SRC163; SRC123</x:v>
      </x:c>
    </x:row>
    <x:row r="47" ht="66" customHeight="1">
      <x:c r="A47" s="43" t="str">
        <x:v>REL-PSY-043</x:v>
      </x:c>
      <x:c r="B47" s="43" t="str">
        <x:v>PSY-121</x:v>
      </x:c>
      <x:c r="C47" s="43" t="str">
        <x:v>Neuroticism</x:v>
      </x:c>
      <x:c r="D47" s="43" t="str">
        <x:v>PSY-054</x:v>
      </x:c>
      <x:c r="E47" s="43" t="str">
        <x:v>Perceived Stress</x:v>
      </x:c>
      <x:c r="F47" s="43" t="str">
        <x:v>Predisposing influence</x:v>
      </x:c>
      <x:c r="G47" s="43" t="str">
        <x:v>Positive</x:v>
      </x:c>
      <x:c r="H47" s="43" t="str">
        <x:v>Contingent</x:v>
      </x:c>
      <x:c r="I47" s="43" t="str">
        <x:v>Situation severity, coping resources, social support, and current affect</x:v>
      </x:c>
      <x:c r="J47" s="43" t="str">
        <x:v>Mixed / Context-dependent</x:v>
      </x:c>
      <x:c r="K47" s="43" t="str">
        <x:v>Moderate</x:v>
      </x:c>
      <x:c r="L47" s="43" t="str">
        <x:v>Higher negative emotionality biases appraisal toward greater stress, without determining response in any specific situation.</x:v>
      </x:c>
      <x:c r="M47" s="43" t="str">
        <x:v>SRC204; SRC146</x:v>
      </x:c>
    </x:row>
    <x:row r="48" ht="66" customHeight="1">
      <x:c r="A48" s="43" t="str">
        <x:v>REL-PSY-044</x:v>
      </x:c>
      <x:c r="B48" s="43" t="str">
        <x:v>PSY-120</x:v>
      </x:c>
      <x:c r="C48" s="43" t="str">
        <x:v>Conscientiousness</x:v>
      </x:c>
      <x:c r="D48" s="43" t="str">
        <x:v>PSY-077</x:v>
      </x:c>
      <x:c r="E48" s="43" t="str">
        <x:v>Self-Monitoring Intensity</x:v>
      </x:c>
      <x:c r="F48" s="43" t="str">
        <x:v>Predisposing influence</x:v>
      </x:c>
      <x:c r="G48" s="43" t="str">
        <x:v>Positive</x:v>
      </x:c>
      <x:c r="H48" s="43" t="str">
        <x:v>Contingent</x:v>
      </x:c>
      <x:c r="I48" s="43" t="str">
        <x:v>Goal importance, task structure, role demands, and feedback availability</x:v>
      </x:c>
      <x:c r="J48" s="43" t="str">
        <x:v>Mixed / Context-dependent</x:v>
      </x:c>
      <x:c r="K48" s="43" t="str">
        <x:v>Moderate</x:v>
      </x:c>
      <x:c r="L48" s="43" t="str">
        <x:v>Conscientious tendencies support tracking and disciplined goal pursuit, but situation strength remains important.</x:v>
      </x:c>
      <x:c r="M48" s="43" t="str">
        <x:v>SRC202; SRC203</x:v>
      </x:c>
    </x:row>
    <x:row r="49" ht="66" customHeight="1">
      <x:c r="A49" s="43" t="str">
        <x:v>REL-PSY-045</x:v>
      </x:c>
      <x:c r="B49" s="43" t="str">
        <x:v>PSY-100</x:v>
      </x:c>
      <x:c r="C49" s="43" t="str">
        <x:v>Self-Integrity Threat</x:v>
      </x:c>
      <x:c r="D49" s="43" t="str">
        <x:v>PSY-115</x:v>
      </x:c>
      <x:c r="E49" s="43" t="str">
        <x:v>Counterarguing Intensity</x:v>
      </x:c>
      <x:c r="F49" s="43" t="str">
        <x:v>Defensive influence</x:v>
      </x:c>
      <x:c r="G49" s="43" t="str">
        <x:v>Positive</x:v>
      </x:c>
      <x:c r="H49" s="43" t="str">
        <x:v>Threshold / contingent</x:v>
      </x:c>
      <x:c r="I49" s="43" t="str">
        <x:v>Identity centrality, affirmation opportunities, source, accountability, and message framing</x:v>
      </x:c>
      <x:c r="J49" s="43" t="str">
        <x:v>Seconds–Minutes</x:v>
      </x:c>
      <x:c r="K49" s="43" t="str">
        <x:v>Strong</x:v>
      </x:c>
      <x:c r="L49" s="43" t="str">
        <x:v>Threatening implications for global self-integrity can increase defensive counterarguing.</x:v>
      </x:c>
      <x:c r="M49" s="43" t="str">
        <x:v>SRC129; SRC158</x:v>
      </x:c>
    </x:row>
    <x:row r="50" ht="66" customHeight="1">
      <x:c r="A50" s="43" t="str">
        <x:v>REL-PSY-046</x:v>
      </x:c>
      <x:c r="B50" s="43" t="str">
        <x:v>PSY-101</x:v>
      </x:c>
      <x:c r="C50" s="43" t="str">
        <x:v>Perceived Identity Threat</x:v>
      </x:c>
      <x:c r="D50" s="43" t="str">
        <x:v>PSY-043</x:v>
      </x:c>
      <x:c r="E50" s="43" t="str">
        <x:v>Anger Intensity</x:v>
      </x:c>
      <x:c r="F50" s="43" t="str">
        <x:v>Candidate causal influence</x:v>
      </x:c>
      <x:c r="G50" s="43" t="str">
        <x:v>Positive</x:v>
      </x:c>
      <x:c r="H50" s="43" t="str">
        <x:v>Threshold / contingent</x:v>
      </x:c>
      <x:c r="I50" s="43" t="str">
        <x:v>Group identification, efficacy, norms, status, and perceived intent</x:v>
      </x:c>
      <x:c r="J50" s="43" t="str">
        <x:v>Seconds–Minutes</x:v>
      </x:c>
      <x:c r="K50" s="43" t="str">
        <x:v>Moderate</x:v>
      </x:c>
      <x:c r="L50" s="43" t="str">
        <x:v>Threat to a valued identity can elicit anger and mobilize defense when the actor feels efficacious.</x:v>
      </x:c>
      <x:c r="M50" s="43" t="str">
        <x:v>SRC160; SRC161</x:v>
      </x:c>
    </x:row>
    <x:row r="51" ht="66" customHeight="1">
      <x:c r="A51" s="43" t="str">
        <x:v>REL-PSY-047</x:v>
      </x:c>
      <x:c r="B51" s="43" t="str">
        <x:v>PSY-108</x:v>
      </x:c>
      <x:c r="C51" s="43" t="str">
        <x:v>Perceived Freedom Threat</x:v>
      </x:c>
      <x:c r="D51" s="43" t="str">
        <x:v>PSY-109</x:v>
      </x:c>
      <x:c r="E51" s="43" t="str">
        <x:v>Psychological Reactance Intensity</x:v>
      </x:c>
      <x:c r="F51" s="43" t="str">
        <x:v>Candidate causal influence</x:v>
      </x:c>
      <x:c r="G51" s="43" t="str">
        <x:v>Positive</x:v>
      </x:c>
      <x:c r="H51" s="43" t="str">
        <x:v>Threshold</x:v>
      </x:c>
      <x:c r="I51" s="43" t="str">
        <x:v>Importance of freedom, legitimacy, coercive language, alternatives, and trait reactance</x:v>
      </x:c>
      <x:c r="J51" s="43" t="str">
        <x:v>Seconds–Minutes</x:v>
      </x:c>
      <x:c r="K51" s="43" t="str">
        <x:v>Strong</x:v>
      </x:c>
      <x:c r="L51" s="43" t="str">
        <x:v>Greater perceived restriction of an important freedom increases state reactance.</x:v>
      </x:c>
      <x:c r="M51" s="43" t="str">
        <x:v>SRC128; SRC200</x:v>
      </x:c>
    </x:row>
    <x:row r="52" ht="66" customHeight="1">
      <x:c r="A52" s="43" t="str">
        <x:v>REL-PSY-048</x:v>
      </x:c>
      <x:c r="B52" s="43" t="str">
        <x:v>PSY-109</x:v>
      </x:c>
      <x:c r="C52" s="43" t="str">
        <x:v>Psychological Reactance Intensity</x:v>
      </x:c>
      <x:c r="D52" s="43" t="str">
        <x:v>PSY-115</x:v>
      </x:c>
      <x:c r="E52" s="43" t="str">
        <x:v>Counterarguing Intensity</x:v>
      </x:c>
      <x:c r="F52" s="43" t="str">
        <x:v>Candidate causal influence</x:v>
      </x:c>
      <x:c r="G52" s="43" t="str">
        <x:v>Positive</x:v>
      </x:c>
      <x:c r="H52" s="43" t="str">
        <x:v>Contingent</x:v>
      </x:c>
      <x:c r="I52" s="43" t="str">
        <x:v>Message strength, source, identity, available alternatives, and time</x:v>
      </x:c>
      <x:c r="J52" s="43" t="str">
        <x:v>Seconds–Minutes</x:v>
      </x:c>
      <x:c r="K52" s="43" t="str">
        <x:v>Strong</x:v>
      </x:c>
      <x:c r="L52" s="43" t="str">
        <x:v>Reactance increases negative cognition and argument generation aimed at restoring choice.</x:v>
      </x:c>
      <x:c r="M52" s="43" t="str">
        <x:v>SRC200; SRC128</x:v>
      </x:c>
    </x:row>
    <x:row r="53" ht="66" customHeight="1">
      <x:c r="A53" s="43" t="str">
        <x:v>REL-PSY-049</x:v>
      </x:c>
      <x:c r="B53" s="43" t="str">
        <x:v>PSY-110</x:v>
      </x:c>
      <x:c r="C53" s="43" t="str">
        <x:v>Moral Conviction Strength</x:v>
      </x:c>
      <x:c r="D53" s="43" t="str">
        <x:v>PSY-027</x:v>
      </x:c>
      <x:c r="E53" s="43" t="str">
        <x:v>Goal Commitment</x:v>
      </x:c>
      <x:c r="F53" s="43" t="str">
        <x:v>Motivational influence</x:v>
      </x:c>
      <x:c r="G53" s="43" t="str">
        <x:v>Positive</x:v>
      </x:c>
      <x:c r="H53" s="43" t="str">
        <x:v>Threshold / contingent</x:v>
      </x:c>
      <x:c r="I53" s="43" t="str">
        <x:v>Efficacy, identity, social norms, risk, and perceived obligation</x:v>
      </x:c>
      <x:c r="J53" s="43" t="str">
        <x:v>Minutes–Hours</x:v>
      </x:c>
      <x:c r="K53" s="43" t="str">
        <x:v>Moderate</x:v>
      </x:c>
      <x:c r="L53" s="43" t="str">
        <x:v>Moralized positions often produce stronger commitment to associated goals and lower willingness to compromise.</x:v>
      </x:c>
      <x:c r="M53" s="43" t="str">
        <x:v>SRC164; SRC160</x:v>
      </x:c>
    </x:row>
    <x:row r="54" ht="66" customHeight="1">
      <x:c r="A54" s="43" t="str">
        <x:v>REL-PSY-050</x:v>
      </x:c>
      <x:c r="B54" s="43" t="str">
        <x:v>PSY-113</x:v>
      </x:c>
      <x:c r="C54" s="43" t="str">
        <x:v>Perceived Source Credibility</x:v>
      </x:c>
      <x:c r="D54" s="43" t="str">
        <x:v>PSY-003</x:v>
      </x:c>
      <x:c r="E54" s="43" t="str">
        <x:v>Belief Strength</x:v>
      </x:c>
      <x:c r="F54" s="43" t="str">
        <x:v>Candidate causal influence</x:v>
      </x:c>
      <x:c r="G54" s="43" t="str">
        <x:v>Positive</x:v>
      </x:c>
      <x:c r="H54" s="43" t="str">
        <x:v>Contingent</x:v>
      </x:c>
      <x:c r="I54" s="43" t="str">
        <x:v>Prior belief, argument strength, involvement, source identity, and ability to verify</x:v>
      </x:c>
      <x:c r="J54" s="43" t="str">
        <x:v>Seconds–Minutes</x:v>
      </x:c>
      <x:c r="K54" s="43" t="str">
        <x:v>Moderate</x:v>
      </x:c>
      <x:c r="L54" s="43" t="str">
        <x:v>Greater perceived credibility usually increases the weight assigned to communicated claims when direct verification is costly.</x:v>
      </x:c>
      <x:c r="M54" s="43" t="str">
        <x:v>SRC201; SRC117</x:v>
      </x:c>
    </x:row>
    <x:row r="55" ht="66" customHeight="1">
      <x:c r="A55" s="43" t="str">
        <x:v>REL-PSY-051</x:v>
      </x:c>
      <x:c r="B55" s="43" t="str">
        <x:v>PSY-114</x:v>
      </x:c>
      <x:c r="C55" s="43" t="str">
        <x:v>Perceived Argument Strength</x:v>
      </x:c>
      <x:c r="D55" s="43" t="str">
        <x:v>PSY-003</x:v>
      </x:c>
      <x:c r="E55" s="43" t="str">
        <x:v>Belief Strength</x:v>
      </x:c>
      <x:c r="F55" s="43" t="str">
        <x:v>Candidate causal influence</x:v>
      </x:c>
      <x:c r="G55" s="43" t="str">
        <x:v>Positive</x:v>
      </x:c>
      <x:c r="H55" s="43" t="str">
        <x:v>Contingent</x:v>
      </x:c>
      <x:c r="I55" s="43" t="str">
        <x:v>Elaboration depth, prior belief, source credibility, and counterarguing</x:v>
      </x:c>
      <x:c r="J55" s="43" t="str">
        <x:v>Minutes–Hours</x:v>
      </x:c>
      <x:c r="K55" s="43" t="str">
        <x:v>Strong</x:v>
      </x:c>
      <x:c r="L55" s="43" t="str">
        <x:v>Arguments judged strong increase confidence in their conclusions when they are processed and not effectively rebutted.</x:v>
      </x:c>
      <x:c r="M55" s="43" t="str">
        <x:v>SRC117; SRC162</x:v>
      </x:c>
    </x:row>
    <x:row r="56" ht="66" customHeight="1">
      <x:c r="A56" s="43" t="str">
        <x:v>REL-PSY-052</x:v>
      </x:c>
      <x:c r="B56" s="43" t="str">
        <x:v>PSY-115</x:v>
      </x:c>
      <x:c r="C56" s="43" t="str">
        <x:v>Counterarguing Intensity</x:v>
      </x:c>
      <x:c r="D56" s="43" t="str">
        <x:v>PSY-003</x:v>
      </x:c>
      <x:c r="E56" s="43" t="str">
        <x:v>Belief Strength</x:v>
      </x:c>
      <x:c r="F56" s="43" t="str">
        <x:v>Candidate causal influence</x:v>
      </x:c>
      <x:c r="G56" s="43" t="str">
        <x:v>Negative</x:v>
      </x:c>
      <x:c r="H56" s="43" t="str">
        <x:v>Threshold / contingent</x:v>
      </x:c>
      <x:c r="I56" s="43" t="str">
        <x:v>Counterargument quality, prior belief, source, and opportunity for rebuttal</x:v>
      </x:c>
      <x:c r="J56" s="43" t="str">
        <x:v>Minutes–Hours</x:v>
      </x:c>
      <x:c r="K56" s="43" t="str">
        <x:v>Strong</x:v>
      </x:c>
      <x:c r="L56" s="43" t="str">
        <x:v>Strong counterarguing reduces confidence in the message conclusion, while sometimes increasing confidence in the prior belief.</x:v>
      </x:c>
      <x:c r="M56" s="43" t="str">
        <x:v>SRC131; SRC117</x:v>
      </x:c>
    </x:row>
    <x:row r="57" ht="66" customHeight="1">
      <x:c r="A57" s="43" t="str">
        <x:v>REL-PSY-053</x:v>
      </x:c>
      <x:c r="B57" s="43" t="str">
        <x:v>PSY-117</x:v>
      </x:c>
      <x:c r="C57" s="43" t="str">
        <x:v>Resistance Motivation</x:v>
      </x:c>
      <x:c r="D57" s="43" t="str">
        <x:v>PSY-115</x:v>
      </x:c>
      <x:c r="E57" s="43" t="str">
        <x:v>Counterarguing Intensity</x:v>
      </x:c>
      <x:c r="F57" s="43" t="str">
        <x:v>Candidate causal influence</x:v>
      </x:c>
      <x:c r="G57" s="43" t="str">
        <x:v>Positive</x:v>
      </x:c>
      <x:c r="H57" s="43" t="str">
        <x:v>Threshold / contingent</x:v>
      </x:c>
      <x:c r="I57" s="43" t="str">
        <x:v>Forewarning specificity, prior attitude, issue importance, message delay, and cognitive capacity</x:v>
      </x:c>
      <x:c r="J57" s="43" t="str">
        <x:v>Minutes–Hours</x:v>
      </x:c>
      <x:c r="K57" s="43" t="str">
        <x:v>Strong</x:v>
      </x:c>
      <x:c r="L57" s="43" t="str">
        <x:v>Motivation to resist increases rehearsal and generation of counterarguments when ability permits.</x:v>
      </x:c>
      <x:c r="M57" s="43" t="str">
        <x:v>SRC131; SRC128</x:v>
      </x:c>
    </x:row>
    <x:row r="58" ht="66" customHeight="1">
      <x:c r="A58" s="43" t="str">
        <x:v>REL-PSY-054</x:v>
      </x:c>
      <x:c r="B58" s="43" t="str">
        <x:v>PSY-118</x:v>
      </x:c>
      <x:c r="C58" s="43" t="str">
        <x:v>Epistemic Trust</x:v>
      </x:c>
      <x:c r="D58" s="43" t="str">
        <x:v>PSY-003</x:v>
      </x:c>
      <x:c r="E58" s="43" t="str">
        <x:v>Belief Strength</x:v>
      </x:c>
      <x:c r="F58" s="43" t="str">
        <x:v>Candidate causal influence</x:v>
      </x:c>
      <x:c r="G58" s="43" t="str">
        <x:v>Positive</x:v>
      </x:c>
      <x:c r="H58" s="43" t="str">
        <x:v>Contingent</x:v>
      </x:c>
      <x:c r="I58" s="43" t="str">
        <x:v>Source track record, argument content, relationship, prior belief, and verification cost</x:v>
      </x:c>
      <x:c r="J58" s="43" t="str">
        <x:v>Minutes–Hours</x:v>
      </x:c>
      <x:c r="K58" s="43" t="str">
        <x:v>Moderate</x:v>
      </x:c>
      <x:c r="L58" s="43" t="str">
        <x:v>Epistemic trust increases willingness to update from socially communicated information.</x:v>
      </x:c>
      <x:c r="M58" s="43" t="str">
        <x:v>SRC166; SRC136</x:v>
      </x:c>
    </x:row>
    <x:row r="59" ht="66" customHeight="1">
      <x:c r="A59" s="43" t="str">
        <x:v>REL-PSY-055</x:v>
      </x:c>
      <x:c r="B59" s="43" t="str">
        <x:v>PSY-130</x:v>
      </x:c>
      <x:c r="C59" s="43" t="str">
        <x:v>Need for Closure</x:v>
      </x:c>
      <x:c r="D59" s="43" t="str">
        <x:v>PSY-119</x:v>
      </x:c>
      <x:c r="E59" s="43" t="str">
        <x:v>Perceived Information Sufficiency</x:v>
      </x:c>
      <x:c r="F59" s="43" t="str">
        <x:v>Candidate causal influence</x:v>
      </x:c>
      <x:c r="G59" s="43" t="str">
        <x:v>Positive</x:v>
      </x:c>
      <x:c r="H59" s="43" t="str">
        <x:v>Threshold / premature stopping</x:v>
      </x:c>
      <x:c r="I59" s="43" t="str">
        <x:v>Accountability, urgency, information quality, uncertainty, and alternatives</x:v>
      </x:c>
      <x:c r="J59" s="43" t="str">
        <x:v>Minutes–Hours</x:v>
      </x:c>
      <x:c r="K59" s="43" t="str">
        <x:v>Moderate</x:v>
      </x:c>
      <x:c r="L59" s="43" t="str">
        <x:v>High need for closure can lower the subjective threshold for declaring available information sufficient.</x:v>
      </x:c>
      <x:c r="M59" s="43" t="str">
        <x:v>SRC119; SRC167</x:v>
      </x:c>
    </x:row>
    <x:row r="60" ht="66" customHeight="1">
      <x:c r="A60" s="43" t="str">
        <x:v>REL-PSY-056</x:v>
      </x:c>
      <x:c r="B60" s="43" t="str">
        <x:v>PSY-131</x:v>
      </x:c>
      <x:c r="C60" s="43" t="str">
        <x:v>Intolerance of Uncertainty</x:v>
      </x:c>
      <x:c r="D60" s="43" t="str">
        <x:v>PSY-042</x:v>
      </x:c>
      <x:c r="E60" s="43" t="str">
        <x:v>Anxiety Intensity</x:v>
      </x:c>
      <x:c r="F60" s="43" t="str">
        <x:v>Predisposing influence</x:v>
      </x:c>
      <x:c r="G60" s="43" t="str">
        <x:v>Positive</x:v>
      </x:c>
      <x:c r="H60" s="43" t="str">
        <x:v>Threshold / contingent</x:v>
      </x:c>
      <x:c r="I60" s="43" t="str">
        <x:v>Threat severity, control, reassurance, coping capacity, and time horizon</x:v>
      </x:c>
      <x:c r="J60" s="43" t="str">
        <x:v>Seconds–Minutes</x:v>
      </x:c>
      <x:c r="K60" s="43" t="str">
        <x:v>Strong</x:v>
      </x:c>
      <x:c r="L60" s="43" t="str">
        <x:v>Greater intolerance of uncertainty increases anxious apprehension when outcomes are unclear.</x:v>
      </x:c>
      <x:c r="M60" s="43" t="str">
        <x:v>SRC123; SRC207</x:v>
      </x:c>
    </x:row>
  </x:sheetData>
  <x:mergeCells>
    <x:mergeCell ref="A1:M1"/>
    <x:mergeCell ref="A2:M2"/>
  </x:mergeCells>
  <x:dataValidations count="2">
    <x:dataValidation type="list" sqref="G5:G60">
      <x:formula1>"Positive,Negative,Inverted-U,U-shaped,Threshold,Saturating,Contingent,Unknown,Bidirectional"</x:formula1>
    </x:dataValidation>
    <x:dataValidation type="list" sqref="K5:K60">
      <x:formula1>"Strong,Moderate,Emerging,Mixed,Limited"</x:formula1>
    </x:dataValidation>
  </x:dataValidations>
  <x:pageMargins left="0.7" right="0.7" top="0.75" bottom="0.75" header="0.3" footer="0.3"/>
  <x:tableParts count="1">
    <x:tablePart xmlns:r="http://schemas.openxmlformats.org/officeDocument/2006/relationships" r:id="R3eb876adeedc42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28" hidden="0" customWidth="1"/>
    <x:col min="4" max="4" width="48" hidden="0" customWidth="1"/>
    <x:col min="5" max="5" width="29" hidden="0" customWidth="1"/>
    <x:col min="6" max="6" width="34" hidden="0" customWidth="1"/>
    <x:col min="7" max="7" width="15" hidden="0" customWidth="1"/>
    <x:col min="8" max="8" width="48" hidden="0" customWidth="1"/>
    <x:col min="9" max="9" width="24" hidden="0" customWidth="1"/>
  </x:cols>
  <x:sheetData>
    <x:row r="1" ht="30" customHeight="1">
      <x:c r="A1" s="46" t="str">
        <x:v>PSYWERX Psychological Driver Ontology — Operationalizations</x:v>
      </x:c>
      <x:c r="B1" s="46"/>
      <x:c r="C1" s="46"/>
      <x:c r="D1" s="46"/>
      <x:c r="E1" s="46"/>
      <x:c r="F1" s="46"/>
      <x:c r="G1" s="46"/>
      <x:c r="H1" s="46"/>
      <x:c r="I1" s="46"/>
    </x:row>
    <x:row r="2" ht="42" customHeight="1">
      <x:c r="A2" s="49" t="str">
        <x:v>Alternative indicators, measures, tasks, scales, and representations linked to canonical drivers. An operationalization is evidence about a driver, not automatically the driver itself.</x:v>
      </x:c>
      <x:c r="B2" s="49"/>
      <x:c r="C2" s="49"/>
      <x:c r="D2" s="49"/>
      <x:c r="E2" s="49"/>
      <x:c r="F2" s="49"/>
      <x:c r="G2" s="49"/>
      <x:c r="H2" s="49"/>
      <x:c r="I2" s="49"/>
    </x:row>
    <x:row r="3" ht="8" customHeight="1">
      <x:c r="A3" s="43"/>
      <x:c r="B3" s="43"/>
      <x:c r="C3" s="43"/>
      <x:c r="D3" s="43"/>
      <x:c r="E3" s="43"/>
      <x:c r="F3" s="43"/>
      <x:c r="G3" s="43"/>
      <x:c r="H3" s="43"/>
      <x:c r="I3" s="43"/>
    </x:row>
    <x:row r="4" ht="46" customHeight="1">
      <x:c r="A4" s="52" t="str">
        <x:v>Operationalization ID</x:v>
      </x:c>
      <x:c r="B4" s="52" t="str">
        <x:v>Driver ID</x:v>
      </x:c>
      <x:c r="C4" s="52" t="str">
        <x:v>Driver Name</x:v>
      </x:c>
      <x:c r="D4" s="52" t="str">
        <x:v>Indicator / Measure</x:v>
      </x:c>
      <x:c r="E4" s="52" t="str">
        <x:v>Method Type</x:v>
      </x:c>
      <x:c r="F4" s="52" t="str">
        <x:v>Representation / Scale</x:v>
      </x:c>
      <x:c r="G4" s="52" t="str">
        <x:v>Observability</x:v>
      </x:c>
      <x:c r="H4" s="52" t="str">
        <x:v>Measurement Caveats</x:v>
      </x:c>
      <x:c r="I4" s="52" t="str">
        <x:v>Evidence IDs</x:v>
      </x:c>
    </x:row>
    <x:row r="5" ht="58" customHeight="1">
      <x:c r="A5" s="43" t="str">
        <x:v>OP-PSY-0001</x:v>
      </x:c>
      <x:c r="B5" s="43" t="str">
        <x:v>PSY-001</x:v>
      </x:c>
      <x:c r="C5" s="43" t="str">
        <x:v>Attitude Valence</x:v>
      </x:c>
      <x:c r="D5" s="43" t="str">
        <x:v>Construct-specific assessment: Evaluative ratings</x:v>
      </x:c>
      <x:c r="E5" s="43" t="str">
        <x:v>Self-report / assessment</x:v>
      </x:c>
      <x:c r="F5" s="43" t="str">
        <x:v>Validated semantic-differential or Likert composite anchored unfavorable–favorable</x:v>
      </x:c>
      <x:c r="G5" s="43" t="str">
        <x:v>Moderate</x:v>
      </x:c>
      <x:c r="H5" s="43" t="str">
        <x:v>Self-report may conflate evaluation, expectancy, and intention; behavior-specific wording and temporal alignment are essential. Use behavior-, target-, and time-specific wording and report reliability and invariance where relevant.</x:v>
      </x:c>
      <x:c r="I5" s="43" t="str">
        <x:v>SRC107; SRC110</x:v>
      </x:c>
    </x:row>
    <x:row r="6" ht="58" customHeight="1">
      <x:c r="A6" s="43" t="str">
        <x:v>OP-PSY-0002</x:v>
      </x:c>
      <x:c r="B6" s="43" t="str">
        <x:v>PSY-001</x:v>
      </x:c>
      <x:c r="C6" s="43" t="str">
        <x:v>Attitude Valence</x:v>
      </x:c>
      <x:c r="D6" s="43" t="str">
        <x:v>Behavioral or scenario-based indicator: approach or avoidance language</x:v>
      </x:c>
      <x:c r="E6" s="43" t="str">
        <x:v>Behavioral / clinical assessment</x:v>
      </x:c>
      <x:c r="F6" s="43" t="str">
        <x:v>Validated semantic-differential or Likert composite anchored unfavorable–favorable</x:v>
      </x:c>
      <x:c r="G6" s="43" t="str">
        <x:v>Moderate</x:v>
      </x:c>
      <x:c r="H6" s="43" t="str">
        <x:v>Self-report may conflate evaluation, expectancy, and intention; behavior-specific wording and temporal alignment are essential. Behavioral manifestations are conditional and should be triangulated with construct-specific assessment.</x:v>
      </x:c>
      <x:c r="I6" s="43" t="str">
        <x:v>SRC107; SRC110</x:v>
      </x:c>
    </x:row>
    <x:row r="7" ht="58" customHeight="1">
      <x:c r="A7" s="43" t="str">
        <x:v>OP-PSY-0003</x:v>
      </x:c>
      <x:c r="B7" s="43" t="str">
        <x:v>PSY-001</x:v>
      </x:c>
      <x:c r="C7" s="43" t="str">
        <x:v>Attitude Valence</x:v>
      </x:c>
      <x:c r="D7" s="43" t="str">
        <x:v>Structured scenario or expert-coded elicitation for Attitude Valence</x:v>
      </x:c>
      <x:c r="E7" s="43" t="str">
        <x:v>Expert elicitation</x:v>
      </x:c>
      <x:c r="F7" s="43" t="str">
        <x:v>Anchored ordinal or continuous judgment with documented rubric</x:v>
      </x:c>
      <x:c r="G7" s="43" t="str">
        <x:v>Moderate</x:v>
      </x:c>
      <x:c r="H7" s="43" t="str">
        <x:v>Self-report may conflate evaluation, expectancy, and intention; behavior-specific wording and temporal alignment are essential. Expert inference should use multiple raters, explicit uncertainty, and evidence independent of the target outcome.</x:v>
      </x:c>
      <x:c r="I7" s="43" t="str">
        <x:v>SRC107; SRC110</x:v>
      </x:c>
    </x:row>
    <x:row r="8" ht="58" customHeight="1">
      <x:c r="A8" s="43" t="str">
        <x:v>OP-PSY-0004</x:v>
      </x:c>
      <x:c r="B8" s="43" t="str">
        <x:v>PSY-002</x:v>
      </x:c>
      <x:c r="C8" s="43" t="str">
        <x:v>Attitude Strength</x:v>
      </x:c>
      <x:c r="D8" s="43" t="str">
        <x:v>Construct-specific assessment: Response latency</x:v>
      </x:c>
      <x:c r="E8" s="43" t="str">
        <x:v>Self-report / assessment</x:v>
      </x:c>
      <x:c r="F8" s="43" t="str">
        <x:v>Composite of certainty, accessibility, importance, stability, and resistance</x:v>
      </x:c>
      <x:c r="G8" s="43" t="str">
        <x:v>Moderate</x:v>
      </x:c>
      <x:c r="H8" s="43" t="str">
        <x:v>Self-report may conflate evaluation, expectancy, and intention; behavior-specific wording and temporal alignment are essential. Use behavior-, target-, and time-specific wording and report reliability and invariance where relevant.</x:v>
      </x:c>
      <x:c r="I8" s="43" t="str">
        <x:v>SRC156; SRC117</x:v>
      </x:c>
    </x:row>
    <x:row r="9" ht="58" customHeight="1">
      <x:c r="A9" s="43" t="str">
        <x:v>OP-PSY-0005</x:v>
      </x:c>
      <x:c r="B9" s="43" t="str">
        <x:v>PSY-002</x:v>
      </x:c>
      <x:c r="C9" s="43" t="str">
        <x:v>Attitude Strength</x:v>
      </x:c>
      <x:c r="D9" s="43" t="str">
        <x:v>Behavioral or scenario-based indicator: test–retest stability</x:v>
      </x:c>
      <x:c r="E9" s="43" t="str">
        <x:v>Behavioral / clinical assessment</x:v>
      </x:c>
      <x:c r="F9" s="43" t="str">
        <x:v>Composite of certainty, accessibility, importance, stability, and resistance</x:v>
      </x:c>
      <x:c r="G9" s="43" t="str">
        <x:v>Moderate</x:v>
      </x:c>
      <x:c r="H9" s="43" t="str">
        <x:v>Self-report may conflate evaluation, expectancy, and intention; behavior-specific wording and temporal alignment are essential. Behavioral manifestations are conditional and should be triangulated with construct-specific assessment.</x:v>
      </x:c>
      <x:c r="I9" s="43" t="str">
        <x:v>SRC156; SRC117</x:v>
      </x:c>
    </x:row>
    <x:row r="10" ht="58" customHeight="1">
      <x:c r="A10" s="43" t="str">
        <x:v>OP-PSY-0006</x:v>
      </x:c>
      <x:c r="B10" s="43" t="str">
        <x:v>PSY-002</x:v>
      </x:c>
      <x:c r="C10" s="43" t="str">
        <x:v>Attitude Strength</x:v>
      </x:c>
      <x:c r="D10" s="43" t="str">
        <x:v>Structured scenario or expert-coded elicitation for Attitude Strength</x:v>
      </x:c>
      <x:c r="E10" s="43" t="str">
        <x:v>Expert elicitation</x:v>
      </x:c>
      <x:c r="F10" s="43" t="str">
        <x:v>Anchored ordinal or continuous judgment with documented rubric</x:v>
      </x:c>
      <x:c r="G10" s="43" t="str">
        <x:v>Moderate</x:v>
      </x:c>
      <x:c r="H10" s="43" t="str">
        <x:v>Self-report may conflate evaluation, expectancy, and intention; behavior-specific wording and temporal alignment are essential. Expert inference should use multiple raters, explicit uncertainty, and evidence independent of the target outcome.</x:v>
      </x:c>
      <x:c r="I10" s="43" t="str">
        <x:v>SRC156; SRC117</x:v>
      </x:c>
    </x:row>
    <x:row r="11" ht="58" customHeight="1">
      <x:c r="A11" s="43" t="str">
        <x:v>OP-PSY-0007</x:v>
      </x:c>
      <x:c r="B11" s="43" t="str">
        <x:v>PSY-003</x:v>
      </x:c>
      <x:c r="C11" s="43" t="str">
        <x:v>Belief Strength</x:v>
      </x:c>
      <x:c r="D11" s="43" t="str">
        <x:v>Construct-specific assessment: Confidence rating</x:v>
      </x:c>
      <x:c r="E11" s="43" t="str">
        <x:v>Self-report / assessment</x:v>
      </x:c>
      <x:c r="F11" s="43" t="str">
        <x:v>0–1 subjective probability or ordinal confidence scale</x:v>
      </x:c>
      <x:c r="G11" s="43" t="str">
        <x:v>Moderate</x:v>
      </x:c>
      <x:c r="H11" s="43" t="str">
        <x:v>Self-report may conflate evaluation, expectancy, and intention; behavior-specific wording and temporal alignment are essential. Use behavior-, target-, and time-specific wording and report reliability and invariance where relevant.</x:v>
      </x:c>
      <x:c r="I11" s="43" t="str">
        <x:v>SRC168; SRC169</x:v>
      </x:c>
    </x:row>
    <x:row r="12" ht="58" customHeight="1">
      <x:c r="A12" s="43" t="str">
        <x:v>OP-PSY-0008</x:v>
      </x:c>
      <x:c r="B12" s="43" t="str">
        <x:v>PSY-003</x:v>
      </x:c>
      <x:c r="C12" s="43" t="str">
        <x:v>Belief Strength</x:v>
      </x:c>
      <x:c r="D12" s="43" t="str">
        <x:v>Behavioral or scenario-based indicator: resistance to revision</x:v>
      </x:c>
      <x:c r="E12" s="43" t="str">
        <x:v>Behavioral / clinical assessment</x:v>
      </x:c>
      <x:c r="F12" s="43" t="str">
        <x:v>0–1 subjective probability or ordinal confidence scale</x:v>
      </x:c>
      <x:c r="G12" s="43" t="str">
        <x:v>Moderate</x:v>
      </x:c>
      <x:c r="H12" s="43" t="str">
        <x:v>Self-report may conflate evaluation, expectancy, and intention; behavior-specific wording and temporal alignment are essential. Behavioral manifestations are conditional and should be triangulated with construct-specific assessment.</x:v>
      </x:c>
      <x:c r="I12" s="43" t="str">
        <x:v>SRC168; SRC169</x:v>
      </x:c>
    </x:row>
    <x:row r="13" ht="58" customHeight="1">
      <x:c r="A13" s="43" t="str">
        <x:v>OP-PSY-0009</x:v>
      </x:c>
      <x:c r="B13" s="43" t="str">
        <x:v>PSY-003</x:v>
      </x:c>
      <x:c r="C13" s="43" t="str">
        <x:v>Belief Strength</x:v>
      </x:c>
      <x:c r="D13" s="43" t="str">
        <x:v>Structured scenario or expert-coded elicitation for Belief Strength</x:v>
      </x:c>
      <x:c r="E13" s="43" t="str">
        <x:v>Expert elicitation</x:v>
      </x:c>
      <x:c r="F13" s="43" t="str">
        <x:v>Anchored ordinal or continuous judgment with documented rubric</x:v>
      </x:c>
      <x:c r="G13" s="43" t="str">
        <x:v>Moderate</x:v>
      </x:c>
      <x:c r="H13" s="43" t="str">
        <x:v>Self-report may conflate evaluation, expectancy, and intention; behavior-specific wording and temporal alignment are essential. Expert inference should use multiple raters, explicit uncertainty, and evidence independent of the target outcome.</x:v>
      </x:c>
      <x:c r="I13" s="43" t="str">
        <x:v>SRC168; SRC169</x:v>
      </x:c>
    </x:row>
    <x:row r="14" ht="58" customHeight="1">
      <x:c r="A14" s="43" t="str">
        <x:v>OP-PSY-0010</x:v>
      </x:c>
      <x:c r="B14" s="43" t="str">
        <x:v>PSY-004</x:v>
      </x:c>
      <x:c r="C14" s="43" t="str">
        <x:v>Outcome Expectancy</x:v>
      </x:c>
      <x:c r="D14" s="43" t="str">
        <x:v>Construct-specific assessment: Probability judgments</x:v>
      </x:c>
      <x:c r="E14" s="43" t="str">
        <x:v>Self-report / assessment</x:v>
      </x:c>
      <x:c r="F14" s="43" t="str">
        <x:v>0–1 probability; 0–100%; low–high expectancy</x:v>
      </x:c>
      <x:c r="G14" s="43" t="str">
        <x:v>Moderate</x:v>
      </x:c>
      <x:c r="H14" s="43" t="str">
        <x:v>Self-report may conflate evaluation, expectancy, and intention; behavior-specific wording and temporal alignment are essential. Use behavior-, target-, and time-specific wording and report reliability and invariance where relevant.</x:v>
      </x:c>
      <x:c r="I14" s="43" t="str">
        <x:v>SRC110; SRC111</x:v>
      </x:c>
    </x:row>
    <x:row r="15" ht="58" customHeight="1">
      <x:c r="A15" s="43" t="str">
        <x:v>OP-PSY-0011</x:v>
      </x:c>
      <x:c r="B15" s="43" t="str">
        <x:v>PSY-004</x:v>
      </x:c>
      <x:c r="C15" s="43" t="str">
        <x:v>Outcome Expectancy</x:v>
      </x:c>
      <x:c r="D15" s="43" t="str">
        <x:v>Behavioral or scenario-based indicator: consequence-belief items</x:v>
      </x:c>
      <x:c r="E15" s="43" t="str">
        <x:v>Behavioral / clinical assessment</x:v>
      </x:c>
      <x:c r="F15" s="43" t="str">
        <x:v>0–1 probability; 0–100%; low–high expectancy</x:v>
      </x:c>
      <x:c r="G15" s="43" t="str">
        <x:v>Moderate</x:v>
      </x:c>
      <x:c r="H15" s="43" t="str">
        <x:v>Self-report may conflate evaluation, expectancy, and intention; behavior-specific wording and temporal alignment are essential. Behavioral manifestations are conditional and should be triangulated with construct-specific assessment.</x:v>
      </x:c>
      <x:c r="I15" s="43" t="str">
        <x:v>SRC110; SRC111</x:v>
      </x:c>
    </x:row>
    <x:row r="16" ht="58" customHeight="1">
      <x:c r="A16" s="43" t="str">
        <x:v>OP-PSY-0012</x:v>
      </x:c>
      <x:c r="B16" s="43" t="str">
        <x:v>PSY-004</x:v>
      </x:c>
      <x:c r="C16" s="43" t="str">
        <x:v>Outcome Expectancy</x:v>
      </x:c>
      <x:c r="D16" s="43" t="str">
        <x:v>Structured scenario or expert-coded elicitation for Outcome Expectancy</x:v>
      </x:c>
      <x:c r="E16" s="43" t="str">
        <x:v>Expert elicitation</x:v>
      </x:c>
      <x:c r="F16" s="43" t="str">
        <x:v>Anchored ordinal or continuous judgment with documented rubric</x:v>
      </x:c>
      <x:c r="G16" s="43" t="str">
        <x:v>Moderate</x:v>
      </x:c>
      <x:c r="H16" s="43" t="str">
        <x:v>Self-report may conflate evaluation, expectancy, and intention; behavior-specific wording and temporal alignment are essential. Expert inference should use multiple raters, explicit uncertainty, and evidence independent of the target outcome.</x:v>
      </x:c>
      <x:c r="I16" s="43" t="str">
        <x:v>SRC110; SRC111</x:v>
      </x:c>
    </x:row>
    <x:row r="17" ht="58" customHeight="1">
      <x:c r="A17" s="43" t="str">
        <x:v>OP-PSY-0013</x:v>
      </x:c>
      <x:c r="B17" s="43" t="str">
        <x:v>PSY-005</x:v>
      </x:c>
      <x:c r="C17" s="43" t="str">
        <x:v>Outcome Valuation</x:v>
      </x:c>
      <x:c r="D17" s="43" t="str">
        <x:v>Construct-specific assessment: Valence ratings</x:v>
      </x:c>
      <x:c r="E17" s="43" t="str">
        <x:v>Self-report / assessment</x:v>
      </x:c>
      <x:c r="F17" s="43" t="str">
        <x:v>Negative–neutral–positive valuation; utility or willingness-to-pay measure</x:v>
      </x:c>
      <x:c r="G17" s="43" t="str">
        <x:v>Moderate</x:v>
      </x:c>
      <x:c r="H17" s="43" t="str">
        <x:v>Self-report may conflate evaluation, expectancy, and intention; behavior-specific wording and temporal alignment are essential. Use behavior-, target-, and time-specific wording and report reliability and invariance where relevant.</x:v>
      </x:c>
      <x:c r="I17" s="43" t="str">
        <x:v>SRC110; SRC113</x:v>
      </x:c>
    </x:row>
    <x:row r="18" ht="58" customHeight="1">
      <x:c r="A18" s="43" t="str">
        <x:v>OP-PSY-0014</x:v>
      </x:c>
      <x:c r="B18" s="43" t="str">
        <x:v>PSY-005</x:v>
      </x:c>
      <x:c r="C18" s="43" t="str">
        <x:v>Outcome Valuation</x:v>
      </x:c>
      <x:c r="D18" s="43" t="str">
        <x:v>Behavioral or scenario-based indicator: willingness to trade</x:v>
      </x:c>
      <x:c r="E18" s="43" t="str">
        <x:v>Behavioral / clinical assessment</x:v>
      </x:c>
      <x:c r="F18" s="43" t="str">
        <x:v>Negative–neutral–positive valuation; utility or willingness-to-pay measure</x:v>
      </x:c>
      <x:c r="G18" s="43" t="str">
        <x:v>Moderate</x:v>
      </x:c>
      <x:c r="H18" s="43" t="str">
        <x:v>Self-report may conflate evaluation, expectancy, and intention; behavior-specific wording and temporal alignment are essential. Behavioral manifestations are conditional and should be triangulated with construct-specific assessment.</x:v>
      </x:c>
      <x:c r="I18" s="43" t="str">
        <x:v>SRC110; SRC113</x:v>
      </x:c>
    </x:row>
    <x:row r="19" ht="58" customHeight="1">
      <x:c r="A19" s="43" t="str">
        <x:v>OP-PSY-0015</x:v>
      </x:c>
      <x:c r="B19" s="43" t="str">
        <x:v>PSY-005</x:v>
      </x:c>
      <x:c r="C19" s="43" t="str">
        <x:v>Outcome Valuation</x:v>
      </x:c>
      <x:c r="D19" s="43" t="str">
        <x:v>Structured scenario or expert-coded elicitation for Outcome Valuation</x:v>
      </x:c>
      <x:c r="E19" s="43" t="str">
        <x:v>Expert elicitation</x:v>
      </x:c>
      <x:c r="F19" s="43" t="str">
        <x:v>Anchored ordinal or continuous judgment with documented rubric</x:v>
      </x:c>
      <x:c r="G19" s="43" t="str">
        <x:v>Moderate</x:v>
      </x:c>
      <x:c r="H19" s="43" t="str">
        <x:v>Self-report may conflate evaluation, expectancy, and intention; behavior-specific wording and temporal alignment are essential. Expert inference should use multiple raters, explicit uncertainty, and evidence independent of the target outcome.</x:v>
      </x:c>
      <x:c r="I19" s="43" t="str">
        <x:v>SRC110; SRC113</x:v>
      </x:c>
    </x:row>
    <x:row r="20" ht="58" customHeight="1">
      <x:c r="A20" s="43" t="str">
        <x:v>OP-PSY-0016</x:v>
      </x:c>
      <x:c r="B20" s="43" t="str">
        <x:v>PSY-006</x:v>
      </x:c>
      <x:c r="C20" s="43" t="str">
        <x:v>Success Expectancy</x:v>
      </x:c>
      <x:c r="D20" s="43" t="str">
        <x:v>Construct-specific assessment: Predicted success</x:v>
      </x:c>
      <x:c r="E20" s="43" t="str">
        <x:v>Self-report / assessment</x:v>
      </x:c>
      <x:c r="F20" s="43" t="str">
        <x:v>0–1 probability; 0–100%; ordinal likelihood</x:v>
      </x:c>
      <x:c r="G20" s="43" t="str">
        <x:v>Moderate</x:v>
      </x:c>
      <x:c r="H20" s="43" t="str">
        <x:v>Self-report may conflate evaluation, expectancy, and intention; behavior-specific wording and temporal alignment are essential. Use behavior-, target-, and time-specific wording and report reliability and invariance where relevant.</x:v>
      </x:c>
      <x:c r="I20" s="43" t="str">
        <x:v>SRC108; SRC111; SRC118</x:v>
      </x:c>
    </x:row>
    <x:row r="21" ht="58" customHeight="1">
      <x:c r="A21" s="43" t="str">
        <x:v>OP-PSY-0017</x:v>
      </x:c>
      <x:c r="B21" s="43" t="str">
        <x:v>PSY-006</x:v>
      </x:c>
      <x:c r="C21" s="43" t="str">
        <x:v>Success Expectancy</x:v>
      </x:c>
      <x:c r="D21" s="43" t="str">
        <x:v>Behavioral or scenario-based indicator: effort choice</x:v>
      </x:c>
      <x:c r="E21" s="43" t="str">
        <x:v>Behavioral / clinical assessment</x:v>
      </x:c>
      <x:c r="F21" s="43" t="str">
        <x:v>0–1 probability; 0–100%; ordinal likelihood</x:v>
      </x:c>
      <x:c r="G21" s="43" t="str">
        <x:v>Moderate</x:v>
      </x:c>
      <x:c r="H21" s="43" t="str">
        <x:v>Self-report may conflate evaluation, expectancy, and intention; behavior-specific wording and temporal alignment are essential. Behavioral manifestations are conditional and should be triangulated with construct-specific assessment.</x:v>
      </x:c>
      <x:c r="I21" s="43" t="str">
        <x:v>SRC108; SRC111; SRC118</x:v>
      </x:c>
    </x:row>
    <x:row r="22" ht="58" customHeight="1">
      <x:c r="A22" s="43" t="str">
        <x:v>OP-PSY-0018</x:v>
      </x:c>
      <x:c r="B22" s="43" t="str">
        <x:v>PSY-006</x:v>
      </x:c>
      <x:c r="C22" s="43" t="str">
        <x:v>Success Expectancy</x:v>
      </x:c>
      <x:c r="D22" s="43" t="str">
        <x:v>Structured scenario or expert-coded elicitation for Success Expectancy</x:v>
      </x:c>
      <x:c r="E22" s="43" t="str">
        <x:v>Expert elicitation</x:v>
      </x:c>
      <x:c r="F22" s="43" t="str">
        <x:v>Anchored ordinal or continuous judgment with documented rubric</x:v>
      </x:c>
      <x:c r="G22" s="43" t="str">
        <x:v>Moderate</x:v>
      </x:c>
      <x:c r="H22" s="43" t="str">
        <x:v>Self-report may conflate evaluation, expectancy, and intention; behavior-specific wording and temporal alignment are essential. Expert inference should use multiple raters, explicit uncertainty, and evidence independent of the target outcome.</x:v>
      </x:c>
      <x:c r="I22" s="43" t="str">
        <x:v>SRC108; SRC111; SRC118</x:v>
      </x:c>
    </x:row>
    <x:row r="23" ht="58" customHeight="1">
      <x:c r="A23" s="43" t="str">
        <x:v>OP-PSY-0019</x:v>
      </x:c>
      <x:c r="B23" s="43" t="str">
        <x:v>PSY-007</x:v>
      </x:c>
      <x:c r="C23" s="43" t="str">
        <x:v>Perceived Relevance</x:v>
      </x:c>
      <x:c r="D23" s="43" t="str">
        <x:v>Construct-specific assessment: Attention</x:v>
      </x:c>
      <x:c r="E23" s="43" t="str">
        <x:v>Self-report / assessment</x:v>
      </x:c>
      <x:c r="F23" s="43" t="str">
        <x:v>Low–high relevance rating; relevance probability</x:v>
      </x:c>
      <x:c r="G23" s="43" t="str">
        <x:v>Moderate</x:v>
      </x:c>
      <x:c r="H23" s="43" t="str">
        <x:v>Self-report may conflate evaluation, expectancy, and intention; behavior-specific wording and temporal alignment are essential. Use behavior-, target-, and time-specific wording and report reliability and invariance where relevant.</x:v>
      </x:c>
      <x:c r="I23" s="43" t="str">
        <x:v>SRC117; SRC156</x:v>
      </x:c>
    </x:row>
    <x:row r="24" ht="58" customHeight="1">
      <x:c r="A24" s="43" t="str">
        <x:v>OP-PSY-0020</x:v>
      </x:c>
      <x:c r="B24" s="43" t="str">
        <x:v>PSY-007</x:v>
      </x:c>
      <x:c r="C24" s="43" t="str">
        <x:v>Perceived Relevance</x:v>
      </x:c>
      <x:c r="D24" s="43" t="str">
        <x:v>Behavioral or scenario-based indicator: elaboration</x:v>
      </x:c>
      <x:c r="E24" s="43" t="str">
        <x:v>Behavioral / clinical assessment</x:v>
      </x:c>
      <x:c r="F24" s="43" t="str">
        <x:v>Low–high relevance rating; relevance probability</x:v>
      </x:c>
      <x:c r="G24" s="43" t="str">
        <x:v>Moderate</x:v>
      </x:c>
      <x:c r="H24" s="43" t="str">
        <x:v>Self-report may conflate evaluation, expectancy, and intention; behavior-specific wording and temporal alignment are essential. Behavioral manifestations are conditional and should be triangulated with construct-specific assessment.</x:v>
      </x:c>
      <x:c r="I24" s="43" t="str">
        <x:v>SRC117; SRC156</x:v>
      </x:c>
    </x:row>
    <x:row r="25" ht="58" customHeight="1">
      <x:c r="A25" s="43" t="str">
        <x:v>OP-PSY-0021</x:v>
      </x:c>
      <x:c r="B25" s="43" t="str">
        <x:v>PSY-007</x:v>
      </x:c>
      <x:c r="C25" s="43" t="str">
        <x:v>Perceived Relevance</x:v>
      </x:c>
      <x:c r="D25" s="43" t="str">
        <x:v>Structured scenario or expert-coded elicitation for Perceived Relevance</x:v>
      </x:c>
      <x:c r="E25" s="43" t="str">
        <x:v>Expert elicitation</x:v>
      </x:c>
      <x:c r="F25" s="43" t="str">
        <x:v>Anchored ordinal or continuous judgment with documented rubric</x:v>
      </x:c>
      <x:c r="G25" s="43" t="str">
        <x:v>Moderate</x:v>
      </x:c>
      <x:c r="H25" s="43" t="str">
        <x:v>Self-report may conflate evaluation, expectancy, and intention; behavior-specific wording and temporal alignment are essential. Expert inference should use multiple raters, explicit uncertainty, and evidence independent of the target outcome.</x:v>
      </x:c>
      <x:c r="I25" s="43" t="str">
        <x:v>SRC117; SRC156</x:v>
      </x:c>
    </x:row>
    <x:row r="26" ht="58" customHeight="1">
      <x:c r="A26" s="43" t="str">
        <x:v>OP-PSY-0022</x:v>
      </x:c>
      <x:c r="B26" s="43" t="str">
        <x:v>PSY-008</x:v>
      </x:c>
      <x:c r="C26" s="43" t="str">
        <x:v>Perceived Outcome Likelihood</x:v>
      </x:c>
      <x:c r="D26" s="43" t="str">
        <x:v>Construct-specific assessment: Probability estimate</x:v>
      </x:c>
      <x:c r="E26" s="43" t="str">
        <x:v>Self-report / assessment</x:v>
      </x:c>
      <x:c r="F26" s="43" t="str">
        <x:v>0–1 probability; percentage; ordinal likelihood</x:v>
      </x:c>
      <x:c r="G26" s="43" t="str">
        <x:v>Moderate</x:v>
      </x:c>
      <x:c r="H26" s="43" t="str">
        <x:v>Appraisals are domain- and time-specific and may diverge from objective hazard, actual skill, or actual control. Use behavior-, target-, and time-specific wording and report reliability and invariance where relevant.</x:v>
      </x:c>
      <x:c r="I26" s="43" t="str">
        <x:v>SRC124; SRC107</x:v>
      </x:c>
    </x:row>
    <x:row r="27" ht="58" customHeight="1">
      <x:c r="A27" s="43" t="str">
        <x:v>OP-PSY-0023</x:v>
      </x:c>
      <x:c r="B27" s="43" t="str">
        <x:v>PSY-008</x:v>
      </x:c>
      <x:c r="C27" s="43" t="str">
        <x:v>Perceived Outcome Likelihood</x:v>
      </x:c>
      <x:c r="D27" s="43" t="str">
        <x:v>Behavioral or scenario-based indicator: susceptibility rating</x:v>
      </x:c>
      <x:c r="E27" s="43" t="str">
        <x:v>Behavioral / clinical assessment</x:v>
      </x:c>
      <x:c r="F27" s="43" t="str">
        <x:v>0–1 probability; percentage; ordinal likelihood</x:v>
      </x:c>
      <x:c r="G27" s="43" t="str">
        <x:v>Moderate</x:v>
      </x:c>
      <x:c r="H27" s="43" t="str">
        <x:v>Appraisals are domain- and time-specific and may diverge from objective hazard, actual skill, or actual control. Behavioral manifestations are conditional and should be triangulated with construct-specific assessment.</x:v>
      </x:c>
      <x:c r="I27" s="43" t="str">
        <x:v>SRC124; SRC107</x:v>
      </x:c>
    </x:row>
    <x:row r="28" ht="58" customHeight="1">
      <x:c r="A28" s="43" t="str">
        <x:v>OP-PSY-0024</x:v>
      </x:c>
      <x:c r="B28" s="43" t="str">
        <x:v>PSY-008</x:v>
      </x:c>
      <x:c r="C28" s="43" t="str">
        <x:v>Perceived Outcome Likelihood</x:v>
      </x:c>
      <x:c r="D28" s="43" t="str">
        <x:v>Structured scenario or expert-coded elicitation for Perceived Outcome Likelihood</x:v>
      </x:c>
      <x:c r="E28" s="43" t="str">
        <x:v>Expert elicitation</x:v>
      </x:c>
      <x:c r="F28" s="43" t="str">
        <x:v>Anchored ordinal or continuous judgment with documented rubric</x:v>
      </x:c>
      <x:c r="G28" s="43" t="str">
        <x:v>Moderate</x:v>
      </x:c>
      <x:c r="H28" s="43" t="str">
        <x:v>Appraisals are domain- and time-specific and may diverge from objective hazard, actual skill, or actual control. Expert inference should use multiple raters, explicit uncertainty, and evidence independent of the target outcome.</x:v>
      </x:c>
      <x:c r="I28" s="43" t="str">
        <x:v>SRC124; SRC107</x:v>
      </x:c>
    </x:row>
    <x:row r="29" ht="58" customHeight="1">
      <x:c r="A29" s="43" t="str">
        <x:v>OP-PSY-0025</x:v>
      </x:c>
      <x:c r="B29" s="43" t="str">
        <x:v>PSY-009</x:v>
      </x:c>
      <x:c r="C29" s="43" t="str">
        <x:v>Perceived Threat Severity</x:v>
      </x:c>
      <x:c r="D29" s="43" t="str">
        <x:v>Construct-specific assessment: Severity rating</x:v>
      </x:c>
      <x:c r="E29" s="43" t="str">
        <x:v>Self-report / assessment</x:v>
      </x:c>
      <x:c r="F29" s="43" t="str">
        <x:v>Low–high severity; expected loss magnitude; multidomain severity profile</x:v>
      </x:c>
      <x:c r="G29" s="43" t="str">
        <x:v>Moderate</x:v>
      </x:c>
      <x:c r="H29" s="43" t="str">
        <x:v>Appraisals are domain- and time-specific and may diverge from objective hazard, actual skill, or actual control. Use behavior-, target-, and time-specific wording and report reliability and invariance where relevant.</x:v>
      </x:c>
      <x:c r="I29" s="43" t="str">
        <x:v>SRC124; SRC137</x:v>
      </x:c>
    </x:row>
    <x:row r="30" ht="58" customHeight="1">
      <x:c r="A30" s="43" t="str">
        <x:v>OP-PSY-0026</x:v>
      </x:c>
      <x:c r="B30" s="43" t="str">
        <x:v>PSY-009</x:v>
      </x:c>
      <x:c r="C30" s="43" t="str">
        <x:v>Perceived Threat Severity</x:v>
      </x:c>
      <x:c r="D30" s="43" t="str">
        <x:v>Behavioral or scenario-based indicator: anticipated harm</x:v>
      </x:c>
      <x:c r="E30" s="43" t="str">
        <x:v>Behavioral / clinical assessment</x:v>
      </x:c>
      <x:c r="F30" s="43" t="str">
        <x:v>Low–high severity; expected loss magnitude; multidomain severity profile</x:v>
      </x:c>
      <x:c r="G30" s="43" t="str">
        <x:v>Moderate</x:v>
      </x:c>
      <x:c r="H30" s="43" t="str">
        <x:v>Appraisals are domain- and time-specific and may diverge from objective hazard, actual skill, or actual control. Behavioral manifestations are conditional and should be triangulated with construct-specific assessment.</x:v>
      </x:c>
      <x:c r="I30" s="43" t="str">
        <x:v>SRC124; SRC137</x:v>
      </x:c>
    </x:row>
    <x:row r="31" ht="58" customHeight="1">
      <x:c r="A31" s="43" t="str">
        <x:v>OP-PSY-0027</x:v>
      </x:c>
      <x:c r="B31" s="43" t="str">
        <x:v>PSY-009</x:v>
      </x:c>
      <x:c r="C31" s="43" t="str">
        <x:v>Perceived Threat Severity</x:v>
      </x:c>
      <x:c r="D31" s="43" t="str">
        <x:v>Structured scenario or expert-coded elicitation for Perceived Threat Severity</x:v>
      </x:c>
      <x:c r="E31" s="43" t="str">
        <x:v>Expert elicitation</x:v>
      </x:c>
      <x:c r="F31" s="43" t="str">
        <x:v>Anchored ordinal or continuous judgment with documented rubric</x:v>
      </x:c>
      <x:c r="G31" s="43" t="str">
        <x:v>Moderate</x:v>
      </x:c>
      <x:c r="H31" s="43" t="str">
        <x:v>Appraisals are domain- and time-specific and may diverge from objective hazard, actual skill, or actual control. Expert inference should use multiple raters, explicit uncertainty, and evidence independent of the target outcome.</x:v>
      </x:c>
      <x:c r="I31" s="43" t="str">
        <x:v>SRC124; SRC137</x:v>
      </x:c>
    </x:row>
    <x:row r="32" ht="58" customHeight="1">
      <x:c r="A32" s="43" t="str">
        <x:v>OP-PSY-0028</x:v>
      </x:c>
      <x:c r="B32" s="43" t="str">
        <x:v>PSY-010</x:v>
      </x:c>
      <x:c r="C32" s="43" t="str">
        <x:v>Response Efficacy</x:v>
      </x:c>
      <x:c r="D32" s="43" t="str">
        <x:v>Construct-specific assessment: Effectiveness rating</x:v>
      </x:c>
      <x:c r="E32" s="43" t="str">
        <x:v>Self-report / assessment</x:v>
      </x:c>
      <x:c r="F32" s="43" t="str">
        <x:v>0–1 expected effectiveness; low–high efficacy</x:v>
      </x:c>
      <x:c r="G32" s="43" t="str">
        <x:v>Moderate</x:v>
      </x:c>
      <x:c r="H32" s="43" t="str">
        <x:v>Appraisals are domain- and time-specific and may diverge from objective hazard, actual skill, or actual control. Use behavior-, target-, and time-specific wording and report reliability and invariance where relevant.</x:v>
      </x:c>
      <x:c r="I32" s="43" t="str">
        <x:v>SRC124; SRC107</x:v>
      </x:c>
    </x:row>
    <x:row r="33" ht="58" customHeight="1">
      <x:c r="A33" s="43" t="str">
        <x:v>OP-PSY-0029</x:v>
      </x:c>
      <x:c r="B33" s="43" t="str">
        <x:v>PSY-010</x:v>
      </x:c>
      <x:c r="C33" s="43" t="str">
        <x:v>Response Efficacy</x:v>
      </x:c>
      <x:c r="D33" s="43" t="str">
        <x:v>Behavioral or scenario-based indicator: intervention choice</x:v>
      </x:c>
      <x:c r="E33" s="43" t="str">
        <x:v>Behavioral / clinical assessment</x:v>
      </x:c>
      <x:c r="F33" s="43" t="str">
        <x:v>0–1 expected effectiveness; low–high efficacy</x:v>
      </x:c>
      <x:c r="G33" s="43" t="str">
        <x:v>Moderate</x:v>
      </x:c>
      <x:c r="H33" s="43" t="str">
        <x:v>Appraisals are domain- and time-specific and may diverge from objective hazard, actual skill, or actual control. Behavioral manifestations are conditional and should be triangulated with construct-specific assessment.</x:v>
      </x:c>
      <x:c r="I33" s="43" t="str">
        <x:v>SRC124; SRC107</x:v>
      </x:c>
    </x:row>
    <x:row r="34" ht="58" customHeight="1">
      <x:c r="A34" s="43" t="str">
        <x:v>OP-PSY-0030</x:v>
      </x:c>
      <x:c r="B34" s="43" t="str">
        <x:v>PSY-010</x:v>
      </x:c>
      <x:c r="C34" s="43" t="str">
        <x:v>Response Efficacy</x:v>
      </x:c>
      <x:c r="D34" s="43" t="str">
        <x:v>Structured scenario or expert-coded elicitation for Response Efficacy</x:v>
      </x:c>
      <x:c r="E34" s="43" t="str">
        <x:v>Expert elicitation</x:v>
      </x:c>
      <x:c r="F34" s="43" t="str">
        <x:v>Anchored ordinal or continuous judgment with documented rubric</x:v>
      </x:c>
      <x:c r="G34" s="43" t="str">
        <x:v>Moderate</x:v>
      </x:c>
      <x:c r="H34" s="43" t="str">
        <x:v>Appraisals are domain- and time-specific and may diverge from objective hazard, actual skill, or actual control. Expert inference should use multiple raters, explicit uncertainty, and evidence independent of the target outcome.</x:v>
      </x:c>
      <x:c r="I34" s="43" t="str">
        <x:v>SRC124; SRC107</x:v>
      </x:c>
    </x:row>
    <x:row r="35" ht="58" customHeight="1">
      <x:c r="A35" s="43" t="str">
        <x:v>OP-PSY-0031</x:v>
      </x:c>
      <x:c r="B35" s="43" t="str">
        <x:v>PSY-011</x:v>
      </x:c>
      <x:c r="C35" s="43" t="str">
        <x:v>Self-Efficacy</x:v>
      </x:c>
      <x:c r="D35" s="43" t="str">
        <x:v>Construct-specific assessment: Capability confidence</x:v>
      </x:c>
      <x:c r="E35" s="43" t="str">
        <x:v>Self-report / assessment</x:v>
      </x:c>
      <x:c r="F35" s="43" t="str">
        <x:v>Behavior-specific 0–100 confidence items; low–high capability</x:v>
      </x:c>
      <x:c r="G35" s="43" t="str">
        <x:v>Moderate</x:v>
      </x:c>
      <x:c r="H35" s="43" t="str">
        <x:v>Appraisals are domain- and time-specific and may diverge from objective hazard, actual skill, or actual control. Use behavior-, target-, and time-specific wording and report reliability and invariance where relevant.</x:v>
      </x:c>
      <x:c r="I35" s="43" t="str">
        <x:v>SRC111; SRC112; SRC107</x:v>
      </x:c>
    </x:row>
    <x:row r="36" ht="58" customHeight="1">
      <x:c r="A36" s="43" t="str">
        <x:v>OP-PSY-0032</x:v>
      </x:c>
      <x:c r="B36" s="43" t="str">
        <x:v>PSY-011</x:v>
      </x:c>
      <x:c r="C36" s="43" t="str">
        <x:v>Self-Efficacy</x:v>
      </x:c>
      <x:c r="D36" s="43" t="str">
        <x:v>Behavioral or scenario-based indicator: task choice</x:v>
      </x:c>
      <x:c r="E36" s="43" t="str">
        <x:v>Behavioral / clinical assessment</x:v>
      </x:c>
      <x:c r="F36" s="43" t="str">
        <x:v>Behavior-specific 0–100 confidence items; low–high capability</x:v>
      </x:c>
      <x:c r="G36" s="43" t="str">
        <x:v>Moderate</x:v>
      </x:c>
      <x:c r="H36" s="43" t="str">
        <x:v>Appraisals are domain- and time-specific and may diverge from objective hazard, actual skill, or actual control. Behavioral manifestations are conditional and should be triangulated with construct-specific assessment.</x:v>
      </x:c>
      <x:c r="I36" s="43" t="str">
        <x:v>SRC111; SRC112; SRC107</x:v>
      </x:c>
    </x:row>
    <x:row r="37" ht="58" customHeight="1">
      <x:c r="A37" s="43" t="str">
        <x:v>OP-PSY-0033</x:v>
      </x:c>
      <x:c r="B37" s="43" t="str">
        <x:v>PSY-011</x:v>
      </x:c>
      <x:c r="C37" s="43" t="str">
        <x:v>Self-Efficacy</x:v>
      </x:c>
      <x:c r="D37" s="43" t="str">
        <x:v>Structured scenario or expert-coded elicitation for Self-Efficacy</x:v>
      </x:c>
      <x:c r="E37" s="43" t="str">
        <x:v>Expert elicitation</x:v>
      </x:c>
      <x:c r="F37" s="43" t="str">
        <x:v>Anchored ordinal or continuous judgment with documented rubric</x:v>
      </x:c>
      <x:c r="G37" s="43" t="str">
        <x:v>Moderate</x:v>
      </x:c>
      <x:c r="H37" s="43" t="str">
        <x:v>Appraisals are domain- and time-specific and may diverge from objective hazard, actual skill, or actual control. Expert inference should use multiple raters, explicit uncertainty, and evidence independent of the target outcome.</x:v>
      </x:c>
      <x:c r="I37" s="43" t="str">
        <x:v>SRC111; SRC112; SRC107</x:v>
      </x:c>
    </x:row>
    <x:row r="38" ht="58" customHeight="1">
      <x:c r="A38" s="43" t="str">
        <x:v>OP-PSY-0034</x:v>
      </x:c>
      <x:c r="B38" s="43" t="str">
        <x:v>PSY-012</x:v>
      </x:c>
      <x:c r="C38" s="43" t="str">
        <x:v>Perceived Behavioral Control</x:v>
      </x:c>
      <x:c r="D38" s="43" t="str">
        <x:v>Construct-specific assessment: Control ratings</x:v>
      </x:c>
      <x:c r="E38" s="43" t="str">
        <x:v>Self-report / assessment</x:v>
      </x:c>
      <x:c r="F38" s="43" t="str">
        <x:v>Very difficult–very easy; no control–complete control</x:v>
      </x:c>
      <x:c r="G38" s="43" t="str">
        <x:v>Moderate</x:v>
      </x:c>
      <x:c r="H38" s="43" t="str">
        <x:v>Appraisals are domain- and time-specific and may diverge from objective hazard, actual skill, or actual control. Use behavior-, target-, and time-specific wording and report reliability and invariance where relevant.</x:v>
      </x:c>
      <x:c r="I38" s="43" t="str">
        <x:v>SRC110; SRC107</x:v>
      </x:c>
    </x:row>
    <x:row r="39" ht="58" customHeight="1">
      <x:c r="A39" s="43" t="str">
        <x:v>OP-PSY-0035</x:v>
      </x:c>
      <x:c r="B39" s="43" t="str">
        <x:v>PSY-012</x:v>
      </x:c>
      <x:c r="C39" s="43" t="str">
        <x:v>Perceived Behavioral Control</x:v>
      </x:c>
      <x:c r="D39" s="43" t="str">
        <x:v>Behavioral or scenario-based indicator: perceived ease</x:v>
      </x:c>
      <x:c r="E39" s="43" t="str">
        <x:v>Behavioral / clinical assessment</x:v>
      </x:c>
      <x:c r="F39" s="43" t="str">
        <x:v>Very difficult–very easy; no control–complete control</x:v>
      </x:c>
      <x:c r="G39" s="43" t="str">
        <x:v>Moderate</x:v>
      </x:c>
      <x:c r="H39" s="43" t="str">
        <x:v>Appraisals are domain- and time-specific and may diverge from objective hazard, actual skill, or actual control. Behavioral manifestations are conditional and should be triangulated with construct-specific assessment.</x:v>
      </x:c>
      <x:c r="I39" s="43" t="str">
        <x:v>SRC110; SRC107</x:v>
      </x:c>
    </x:row>
    <x:row r="40" ht="58" customHeight="1">
      <x:c r="A40" s="43" t="str">
        <x:v>OP-PSY-0036</x:v>
      </x:c>
      <x:c r="B40" s="43" t="str">
        <x:v>PSY-012</x:v>
      </x:c>
      <x:c r="C40" s="43" t="str">
        <x:v>Perceived Behavioral Control</x:v>
      </x:c>
      <x:c r="D40" s="43" t="str">
        <x:v>Structured scenario or expert-coded elicitation for Perceived Behavioral Control</x:v>
      </x:c>
      <x:c r="E40" s="43" t="str">
        <x:v>Expert elicitation</x:v>
      </x:c>
      <x:c r="F40" s="43" t="str">
        <x:v>Anchored ordinal or continuous judgment with documented rubric</x:v>
      </x:c>
      <x:c r="G40" s="43" t="str">
        <x:v>Moderate</x:v>
      </x:c>
      <x:c r="H40" s="43" t="str">
        <x:v>Appraisals are domain- and time-specific and may diverge from objective hazard, actual skill, or actual control. Expert inference should use multiple raters, explicit uncertainty, and evidence independent of the target outcome.</x:v>
      </x:c>
      <x:c r="I40" s="43" t="str">
        <x:v>SRC110; SRC107</x:v>
      </x:c>
    </x:row>
    <x:row r="41" ht="58" customHeight="1">
      <x:c r="A41" s="43" t="str">
        <x:v>OP-PSY-0037</x:v>
      </x:c>
      <x:c r="B41" s="43" t="str">
        <x:v>PSY-013</x:v>
      </x:c>
      <x:c r="C41" s="43" t="str">
        <x:v>Perceived Controllability</x:v>
      </x:c>
      <x:c r="D41" s="43" t="str">
        <x:v>Construct-specific assessment: Control appraisal</x:v>
      </x:c>
      <x:c r="E41" s="43" t="str">
        <x:v>Self-report / assessment</x:v>
      </x:c>
      <x:c r="F41" s="43" t="str">
        <x:v>No control–complete control; low–high influence</x:v>
      </x:c>
      <x:c r="G41" s="43" t="str">
        <x:v>Moderate</x:v>
      </x:c>
      <x:c r="H41" s="43" t="str">
        <x:v>Appraisals are domain- and time-specific and may diverge from objective hazard, actual skill, or actual control. Use behavior-, target-, and time-specific wording and report reliability and invariance where relevant.</x:v>
      </x:c>
      <x:c r="I41" s="43" t="str">
        <x:v>SRC124; SRC122</x:v>
      </x:c>
    </x:row>
    <x:row r="42" ht="58" customHeight="1">
      <x:c r="A42" s="43" t="str">
        <x:v>OP-PSY-0038</x:v>
      </x:c>
      <x:c r="B42" s="43" t="str">
        <x:v>PSY-013</x:v>
      </x:c>
      <x:c r="C42" s="43" t="str">
        <x:v>Perceived Controllability</x:v>
      </x:c>
      <x:c r="D42" s="43" t="str">
        <x:v>Behavioral or scenario-based indicator: action–outcome contingency rating</x:v>
      </x:c>
      <x:c r="E42" s="43" t="str">
        <x:v>Behavioral / clinical assessment</x:v>
      </x:c>
      <x:c r="F42" s="43" t="str">
        <x:v>No control–complete control; low–high influence</x:v>
      </x:c>
      <x:c r="G42" s="43" t="str">
        <x:v>Moderate</x:v>
      </x:c>
      <x:c r="H42" s="43" t="str">
        <x:v>Appraisals are domain- and time-specific and may diverge from objective hazard, actual skill, or actual control. Behavioral manifestations are conditional and should be triangulated with construct-specific assessment.</x:v>
      </x:c>
      <x:c r="I42" s="43" t="str">
        <x:v>SRC124; SRC122</x:v>
      </x:c>
    </x:row>
    <x:row r="43" ht="58" customHeight="1">
      <x:c r="A43" s="43" t="str">
        <x:v>OP-PSY-0039</x:v>
      </x:c>
      <x:c r="B43" s="43" t="str">
        <x:v>PSY-013</x:v>
      </x:c>
      <x:c r="C43" s="43" t="str">
        <x:v>Perceived Controllability</x:v>
      </x:c>
      <x:c r="D43" s="43" t="str">
        <x:v>Structured scenario or expert-coded elicitation for Perceived Controllability</x:v>
      </x:c>
      <x:c r="E43" s="43" t="str">
        <x:v>Expert elicitation</x:v>
      </x:c>
      <x:c r="F43" s="43" t="str">
        <x:v>Anchored ordinal or continuous judgment with documented rubric</x:v>
      </x:c>
      <x:c r="G43" s="43" t="str">
        <x:v>Moderate</x:v>
      </x:c>
      <x:c r="H43" s="43" t="str">
        <x:v>Appraisals are domain- and time-specific and may diverge from objective hazard, actual skill, or actual control. Expert inference should use multiple raters, explicit uncertainty, and evidence independent of the target outcome.</x:v>
      </x:c>
      <x:c r="I43" s="43" t="str">
        <x:v>SRC124; SRC122</x:v>
      </x:c>
    </x:row>
    <x:row r="44" ht="58" customHeight="1">
      <x:c r="A44" s="43" t="str">
        <x:v>OP-PSY-0040</x:v>
      </x:c>
      <x:c r="B44" s="43" t="str">
        <x:v>PSY-014</x:v>
      </x:c>
      <x:c r="C44" s="43" t="str">
        <x:v>Coping Self-Efficacy</x:v>
      </x:c>
      <x:c r="D44" s="43" t="str">
        <x:v>Construct-specific assessment: Coping confidence</x:v>
      </x:c>
      <x:c r="E44" s="43" t="str">
        <x:v>Self-report / assessment</x:v>
      </x:c>
      <x:c r="F44" s="43" t="str">
        <x:v>Situation-specific low–high confidence scale</x:v>
      </x:c>
      <x:c r="G44" s="43" t="str">
        <x:v>Moderate</x:v>
      </x:c>
      <x:c r="H44" s="43" t="str">
        <x:v>Appraisals are domain- and time-specific and may diverge from objective hazard, actual skill, or actual control. Use behavior-, target-, and time-specific wording and report reliability and invariance where relevant.</x:v>
      </x:c>
      <x:c r="I44" s="43" t="str">
        <x:v>SRC111; SRC121</x:v>
      </x:c>
    </x:row>
    <x:row r="45" ht="58" customHeight="1">
      <x:c r="A45" s="43" t="str">
        <x:v>OP-PSY-0041</x:v>
      </x:c>
      <x:c r="B45" s="43" t="str">
        <x:v>PSY-014</x:v>
      </x:c>
      <x:c r="C45" s="43" t="str">
        <x:v>Coping Self-Efficacy</x:v>
      </x:c>
      <x:c r="D45" s="43" t="str">
        <x:v>Behavioral or scenario-based indicator: strategy use</x:v>
      </x:c>
      <x:c r="E45" s="43" t="str">
        <x:v>Behavioral / clinical assessment</x:v>
      </x:c>
      <x:c r="F45" s="43" t="str">
        <x:v>Situation-specific low–high confidence scale</x:v>
      </x:c>
      <x:c r="G45" s="43" t="str">
        <x:v>Moderate</x:v>
      </x:c>
      <x:c r="H45" s="43" t="str">
        <x:v>Appraisals are domain- and time-specific and may diverge from objective hazard, actual skill, or actual control. Behavioral manifestations are conditional and should be triangulated with construct-specific assessment.</x:v>
      </x:c>
      <x:c r="I45" s="43" t="str">
        <x:v>SRC111; SRC121</x:v>
      </x:c>
    </x:row>
    <x:row r="46" ht="58" customHeight="1">
      <x:c r="A46" s="43" t="str">
        <x:v>OP-PSY-0042</x:v>
      </x:c>
      <x:c r="B46" s="43" t="str">
        <x:v>PSY-014</x:v>
      </x:c>
      <x:c r="C46" s="43" t="str">
        <x:v>Coping Self-Efficacy</x:v>
      </x:c>
      <x:c r="D46" s="43" t="str">
        <x:v>Structured scenario or expert-coded elicitation for Coping Self-Efficacy</x:v>
      </x:c>
      <x:c r="E46" s="43" t="str">
        <x:v>Expert elicitation</x:v>
      </x:c>
      <x:c r="F46" s="43" t="str">
        <x:v>Anchored ordinal or continuous judgment with documented rubric</x:v>
      </x:c>
      <x:c r="G46" s="43" t="str">
        <x:v>Moderate</x:v>
      </x:c>
      <x:c r="H46" s="43" t="str">
        <x:v>Appraisals are domain- and time-specific and may diverge from objective hazard, actual skill, or actual control. Expert inference should use multiple raters, explicit uncertainty, and evidence independent of the target outcome.</x:v>
      </x:c>
      <x:c r="I46" s="43" t="str">
        <x:v>SRC111; SRC121</x:v>
      </x:c>
    </x:row>
    <x:row r="47" ht="58" customHeight="1">
      <x:c r="A47" s="43" t="str">
        <x:v>OP-PSY-0043</x:v>
      </x:c>
      <x:c r="B47" s="43" t="str">
        <x:v>PSY-015</x:v>
      </x:c>
      <x:c r="C47" s="43" t="str">
        <x:v>Perceived Helplessness</x:v>
      </x:c>
      <x:c r="D47" s="43" t="str">
        <x:v>Construct-specific assessment: Passivity</x:v>
      </x:c>
      <x:c r="E47" s="43" t="str">
        <x:v>Self-report / assessment</x:v>
      </x:c>
      <x:c r="F47" s="43" t="str">
        <x:v>Low–high helplessness; controllability-reversed scale</x:v>
      </x:c>
      <x:c r="G47" s="43" t="str">
        <x:v>Moderate</x:v>
      </x:c>
      <x:c r="H47" s="43" t="str">
        <x:v>Appraisals are domain- and time-specific and may diverge from objective hazard, actual skill, or actual control. Use behavior-, target-, and time-specific wording and report reliability and invariance where relevant.</x:v>
      </x:c>
      <x:c r="I47" s="43" t="str">
        <x:v>SRC109; SRC122</x:v>
      </x:c>
    </x:row>
    <x:row r="48" ht="58" customHeight="1">
      <x:c r="A48" s="43" t="str">
        <x:v>OP-PSY-0044</x:v>
      </x:c>
      <x:c r="B48" s="43" t="str">
        <x:v>PSY-015</x:v>
      </x:c>
      <x:c r="C48" s="43" t="str">
        <x:v>Perceived Helplessness</x:v>
      </x:c>
      <x:c r="D48" s="43" t="str">
        <x:v>Behavioral or scenario-based indicator: disengagement</x:v>
      </x:c>
      <x:c r="E48" s="43" t="str">
        <x:v>Behavioral / clinical assessment</x:v>
      </x:c>
      <x:c r="F48" s="43" t="str">
        <x:v>Low–high helplessness; controllability-reversed scale</x:v>
      </x:c>
      <x:c r="G48" s="43" t="str">
        <x:v>Moderate</x:v>
      </x:c>
      <x:c r="H48" s="43" t="str">
        <x:v>Appraisals are domain- and time-specific and may diverge from objective hazard, actual skill, or actual control. Behavioral manifestations are conditional and should be triangulated with construct-specific assessment.</x:v>
      </x:c>
      <x:c r="I48" s="43" t="str">
        <x:v>SRC109; SRC122</x:v>
      </x:c>
    </x:row>
    <x:row r="49" ht="58" customHeight="1">
      <x:c r="A49" s="43" t="str">
        <x:v>OP-PSY-0045</x:v>
      </x:c>
      <x:c r="B49" s="43" t="str">
        <x:v>PSY-015</x:v>
      </x:c>
      <x:c r="C49" s="43" t="str">
        <x:v>Perceived Helplessness</x:v>
      </x:c>
      <x:c r="D49" s="43" t="str">
        <x:v>Structured scenario or expert-coded elicitation for Perceived Helplessness</x:v>
      </x:c>
      <x:c r="E49" s="43" t="str">
        <x:v>Expert elicitation</x:v>
      </x:c>
      <x:c r="F49" s="43" t="str">
        <x:v>Anchored ordinal or continuous judgment with documented rubric</x:v>
      </x:c>
      <x:c r="G49" s="43" t="str">
        <x:v>Moderate</x:v>
      </x:c>
      <x:c r="H49" s="43" t="str">
        <x:v>Appraisals are domain- and time-specific and may diverge from objective hazard, actual skill, or actual control. Expert inference should use multiple raters, explicit uncertainty, and evidence independent of the target outcome.</x:v>
      </x:c>
      <x:c r="I49" s="43" t="str">
        <x:v>SRC109; SRC122</x:v>
      </x:c>
    </x:row>
    <x:row r="50" ht="58" customHeight="1">
      <x:c r="A50" s="43" t="str">
        <x:v>OP-PSY-0046</x:v>
      </x:c>
      <x:c r="B50" s="43" t="str">
        <x:v>PSY-016</x:v>
      </x:c>
      <x:c r="C50" s="43" t="str">
        <x:v>Perceived Descriptive Norm</x:v>
      </x:c>
      <x:c r="D50" s="43" t="str">
        <x:v>Construct-specific assessment: Estimated prevalence</x:v>
      </x:c>
      <x:c r="E50" s="43" t="str">
        <x:v>Self-report / assessment</x:v>
      </x:c>
      <x:c r="F50" s="43" t="str">
        <x:v>Estimated percentage; frequency distribution; low–high prevalence</x:v>
      </x:c>
      <x:c r="G50" s="43" t="str">
        <x:v>Moderate</x:v>
      </x:c>
      <x:c r="H50" s="43" t="str">
        <x:v>Perceived social conditions are not interchangeable with measured group conditions and can vary by reference group. Use behavior-, target-, and time-specific wording and report reliability and invariance where relevant.</x:v>
      </x:c>
      <x:c r="I50" s="43" t="str">
        <x:v>SRC132; SRC170; SRC107</x:v>
      </x:c>
    </x:row>
    <x:row r="51" ht="58" customHeight="1">
      <x:c r="A51" s="43" t="str">
        <x:v>OP-PSY-0047</x:v>
      </x:c>
      <x:c r="B51" s="43" t="str">
        <x:v>PSY-016</x:v>
      </x:c>
      <x:c r="C51" s="43" t="str">
        <x:v>Perceived Descriptive Norm</x:v>
      </x:c>
      <x:c r="D51" s="43" t="str">
        <x:v>Behavioral or scenario-based indicator: perceived peer frequency</x:v>
      </x:c>
      <x:c r="E51" s="43" t="str">
        <x:v>Behavioral / clinical assessment</x:v>
      </x:c>
      <x:c r="F51" s="43" t="str">
        <x:v>Estimated percentage; frequency distribution; low–high prevalence</x:v>
      </x:c>
      <x:c r="G51" s="43" t="str">
        <x:v>Moderate</x:v>
      </x:c>
      <x:c r="H51" s="43" t="str">
        <x:v>Perceived social conditions are not interchangeable with measured group conditions and can vary by reference group. Behavioral manifestations are conditional and should be triangulated with construct-specific assessment.</x:v>
      </x:c>
      <x:c r="I51" s="43" t="str">
        <x:v>SRC132; SRC170; SRC107</x:v>
      </x:c>
    </x:row>
    <x:row r="52" ht="58" customHeight="1">
      <x:c r="A52" s="43" t="str">
        <x:v>OP-PSY-0048</x:v>
      </x:c>
      <x:c r="B52" s="43" t="str">
        <x:v>PSY-016</x:v>
      </x:c>
      <x:c r="C52" s="43" t="str">
        <x:v>Perceived Descriptive Norm</x:v>
      </x:c>
      <x:c r="D52" s="43" t="str">
        <x:v>Structured scenario or expert-coded elicitation for Perceived Descriptive Norm</x:v>
      </x:c>
      <x:c r="E52" s="43" t="str">
        <x:v>Expert elicitation</x:v>
      </x:c>
      <x:c r="F52" s="43" t="str">
        <x:v>Anchored ordinal or continuous judgment with documented rubric</x:v>
      </x:c>
      <x:c r="G52" s="43" t="str">
        <x:v>Moderate</x:v>
      </x:c>
      <x:c r="H52" s="43" t="str">
        <x:v>Perceived social conditions are not interchangeable with measured group conditions and can vary by reference group. Expert inference should use multiple raters, explicit uncertainty, and evidence independent of the target outcome.</x:v>
      </x:c>
      <x:c r="I52" s="43" t="str">
        <x:v>SRC132; SRC170; SRC107</x:v>
      </x:c>
    </x:row>
    <x:row r="53" ht="58" customHeight="1">
      <x:c r="A53" s="43" t="str">
        <x:v>OP-PSY-0049</x:v>
      </x:c>
      <x:c r="B53" s="43" t="str">
        <x:v>PSY-017</x:v>
      </x:c>
      <x:c r="C53" s="43" t="str">
        <x:v>Perceived Injunctive Norm</x:v>
      </x:c>
      <x:c r="D53" s="43" t="str">
        <x:v>Construct-specific assessment: Approval ratings</x:v>
      </x:c>
      <x:c r="E53" s="43" t="str">
        <x:v>Self-report / assessment</x:v>
      </x:c>
      <x:c r="F53" s="43" t="str">
        <x:v>Strong disapproval–neutral–strong approval</x:v>
      </x:c>
      <x:c r="G53" s="43" t="str">
        <x:v>Moderate</x:v>
      </x:c>
      <x:c r="H53" s="43" t="str">
        <x:v>Perceived social conditions are not interchangeable with measured group conditions and can vary by reference group. Use behavior-, target-, and time-specific wording and report reliability and invariance where relevant.</x:v>
      </x:c>
      <x:c r="I53" s="43" t="str">
        <x:v>SRC132; SRC110; SRC107</x:v>
      </x:c>
    </x:row>
    <x:row r="54" ht="58" customHeight="1">
      <x:c r="A54" s="43" t="str">
        <x:v>OP-PSY-0050</x:v>
      </x:c>
      <x:c r="B54" s="43" t="str">
        <x:v>PSY-017</x:v>
      </x:c>
      <x:c r="C54" s="43" t="str">
        <x:v>Perceived Injunctive Norm</x:v>
      </x:c>
      <x:c r="D54" s="43" t="str">
        <x:v>Behavioral or scenario-based indicator: anticipated sanction</x:v>
      </x:c>
      <x:c r="E54" s="43" t="str">
        <x:v>Behavioral / clinical assessment</x:v>
      </x:c>
      <x:c r="F54" s="43" t="str">
        <x:v>Strong disapproval–neutral–strong approval</x:v>
      </x:c>
      <x:c r="G54" s="43" t="str">
        <x:v>Moderate</x:v>
      </x:c>
      <x:c r="H54" s="43" t="str">
        <x:v>Perceived social conditions are not interchangeable with measured group conditions and can vary by reference group. Behavioral manifestations are conditional and should be triangulated with construct-specific assessment.</x:v>
      </x:c>
      <x:c r="I54" s="43" t="str">
        <x:v>SRC132; SRC110; SRC107</x:v>
      </x:c>
    </x:row>
    <x:row r="55" ht="58" customHeight="1">
      <x:c r="A55" s="43" t="str">
        <x:v>OP-PSY-0051</x:v>
      </x:c>
      <x:c r="B55" s="43" t="str">
        <x:v>PSY-017</x:v>
      </x:c>
      <x:c r="C55" s="43" t="str">
        <x:v>Perceived Injunctive Norm</x:v>
      </x:c>
      <x:c r="D55" s="43" t="str">
        <x:v>Structured scenario or expert-coded elicitation for Perceived Injunctive Norm</x:v>
      </x:c>
      <x:c r="E55" s="43" t="str">
        <x:v>Expert elicitation</x:v>
      </x:c>
      <x:c r="F55" s="43" t="str">
        <x:v>Anchored ordinal or continuous judgment with documented rubric</x:v>
      </x:c>
      <x:c r="G55" s="43" t="str">
        <x:v>Moderate</x:v>
      </x:c>
      <x:c r="H55" s="43" t="str">
        <x:v>Perceived social conditions are not interchangeable with measured group conditions and can vary by reference group. Expert inference should use multiple raters, explicit uncertainty, and evidence independent of the target outcome.</x:v>
      </x:c>
      <x:c r="I55" s="43" t="str">
        <x:v>SRC132; SRC110; SRC107</x:v>
      </x:c>
    </x:row>
    <x:row r="56" ht="58" customHeight="1">
      <x:c r="A56" s="43" t="str">
        <x:v>OP-PSY-0052</x:v>
      </x:c>
      <x:c r="B56" s="43" t="str">
        <x:v>PSY-018</x:v>
      </x:c>
      <x:c r="C56" s="43" t="str">
        <x:v>Anticipated Social Approval</x:v>
      </x:c>
      <x:c r="D56" s="43" t="str">
        <x:v>Construct-specific assessment: Expected praise</x:v>
      </x:c>
      <x:c r="E56" s="43" t="str">
        <x:v>Self-report / assessment</x:v>
      </x:c>
      <x:c r="F56" s="43" t="str">
        <x:v>Expected rejection–neutral–expected approval</x:v>
      </x:c>
      <x:c r="G56" s="43" t="str">
        <x:v>Moderate</x:v>
      </x:c>
      <x:c r="H56" s="43" t="str">
        <x:v>Perceived social conditions are not interchangeable with measured group conditions and can vary by reference group. Use behavior-, target-, and time-specific wording and report reliability and invariance where relevant.</x:v>
      </x:c>
      <x:c r="I56" s="43" t="str">
        <x:v>SRC132; SRC170</x:v>
      </x:c>
    </x:row>
    <x:row r="57" ht="58" customHeight="1">
      <x:c r="A57" s="43" t="str">
        <x:v>OP-PSY-0053</x:v>
      </x:c>
      <x:c r="B57" s="43" t="str">
        <x:v>PSY-018</x:v>
      </x:c>
      <x:c r="C57" s="43" t="str">
        <x:v>Anticipated Social Approval</x:v>
      </x:c>
      <x:c r="D57" s="43" t="str">
        <x:v>Behavioral or scenario-based indicator: anticipated acceptance</x:v>
      </x:c>
      <x:c r="E57" s="43" t="str">
        <x:v>Behavioral / clinical assessment</x:v>
      </x:c>
      <x:c r="F57" s="43" t="str">
        <x:v>Expected rejection–neutral–expected approval</x:v>
      </x:c>
      <x:c r="G57" s="43" t="str">
        <x:v>Moderate</x:v>
      </x:c>
      <x:c r="H57" s="43" t="str">
        <x:v>Perceived social conditions are not interchangeable with measured group conditions and can vary by reference group. Behavioral manifestations are conditional and should be triangulated with construct-specific assessment.</x:v>
      </x:c>
      <x:c r="I57" s="43" t="str">
        <x:v>SRC132; SRC170</x:v>
      </x:c>
    </x:row>
    <x:row r="58" ht="58" customHeight="1">
      <x:c r="A58" s="43" t="str">
        <x:v>OP-PSY-0054</x:v>
      </x:c>
      <x:c r="B58" s="43" t="str">
        <x:v>PSY-018</x:v>
      </x:c>
      <x:c r="C58" s="43" t="str">
        <x:v>Anticipated Social Approval</x:v>
      </x:c>
      <x:c r="D58" s="43" t="str">
        <x:v>Structured scenario or expert-coded elicitation for Anticipated Social Approval</x:v>
      </x:c>
      <x:c r="E58" s="43" t="str">
        <x:v>Expert elicitation</x:v>
      </x:c>
      <x:c r="F58" s="43" t="str">
        <x:v>Anchored ordinal or continuous judgment with documented rubric</x:v>
      </x:c>
      <x:c r="G58" s="43" t="str">
        <x:v>Moderate</x:v>
      </x:c>
      <x:c r="H58" s="43" t="str">
        <x:v>Perceived social conditions are not interchangeable with measured group conditions and can vary by reference group. Expert inference should use multiple raters, explicit uncertainty, and evidence independent of the target outcome.</x:v>
      </x:c>
      <x:c r="I58" s="43" t="str">
        <x:v>SRC132; SRC170</x:v>
      </x:c>
    </x:row>
    <x:row r="59" ht="58" customHeight="1">
      <x:c r="A59" s="43" t="str">
        <x:v>OP-PSY-0055</x:v>
      </x:c>
      <x:c r="B59" s="43" t="str">
        <x:v>PSY-019</x:v>
      </x:c>
      <x:c r="C59" s="43" t="str">
        <x:v>Perceived Social Support</x:v>
      </x:c>
      <x:c r="D59" s="43" t="str">
        <x:v>Construct-specific assessment: Support-availability ratings</x:v>
      </x:c>
      <x:c r="E59" s="43" t="str">
        <x:v>Self-report / assessment</x:v>
      </x:c>
      <x:c r="F59" s="43" t="str">
        <x:v>Subscale profile or overall low–high availability</x:v>
      </x:c>
      <x:c r="G59" s="43" t="str">
        <x:v>Moderate</x:v>
      </x:c>
      <x:c r="H59" s="43" t="str">
        <x:v>Perceived social conditions are not interchangeable with measured group conditions and can vary by reference group. Use behavior-, target-, and time-specific wording and report reliability and invariance where relevant.</x:v>
      </x:c>
      <x:c r="I59" s="43" t="str">
        <x:v>SRC134; SRC108</x:v>
      </x:c>
    </x:row>
    <x:row r="60" ht="58" customHeight="1">
      <x:c r="A60" s="43" t="str">
        <x:v>OP-PSY-0056</x:v>
      </x:c>
      <x:c r="B60" s="43" t="str">
        <x:v>PSY-019</x:v>
      </x:c>
      <x:c r="C60" s="43" t="str">
        <x:v>Perceived Social Support</x:v>
      </x:c>
      <x:c r="D60" s="43" t="str">
        <x:v>Behavioral or scenario-based indicator: help-seeking expectation</x:v>
      </x:c>
      <x:c r="E60" s="43" t="str">
        <x:v>Behavioral / clinical assessment</x:v>
      </x:c>
      <x:c r="F60" s="43" t="str">
        <x:v>Subscale profile or overall low–high availability</x:v>
      </x:c>
      <x:c r="G60" s="43" t="str">
        <x:v>Moderate</x:v>
      </x:c>
      <x:c r="H60" s="43" t="str">
        <x:v>Perceived social conditions are not interchangeable with measured group conditions and can vary by reference group. Behavioral manifestations are conditional and should be triangulated with construct-specific assessment.</x:v>
      </x:c>
      <x:c r="I60" s="43" t="str">
        <x:v>SRC134; SRC108</x:v>
      </x:c>
    </x:row>
    <x:row r="61" ht="58" customHeight="1">
      <x:c r="A61" s="43" t="str">
        <x:v>OP-PSY-0057</x:v>
      </x:c>
      <x:c r="B61" s="43" t="str">
        <x:v>PSY-019</x:v>
      </x:c>
      <x:c r="C61" s="43" t="str">
        <x:v>Perceived Social Support</x:v>
      </x:c>
      <x:c r="D61" s="43" t="str">
        <x:v>Structured scenario or expert-coded elicitation for Perceived Social Support</x:v>
      </x:c>
      <x:c r="E61" s="43" t="str">
        <x:v>Expert elicitation</x:v>
      </x:c>
      <x:c r="F61" s="43" t="str">
        <x:v>Anchored ordinal or continuous judgment with documented rubric</x:v>
      </x:c>
      <x:c r="G61" s="43" t="str">
        <x:v>Moderate</x:v>
      </x:c>
      <x:c r="H61" s="43" t="str">
        <x:v>Perceived social conditions are not interchangeable with measured group conditions and can vary by reference group. Expert inference should use multiple raters, explicit uncertainty, and evidence independent of the target outcome.</x:v>
      </x:c>
      <x:c r="I61" s="43" t="str">
        <x:v>SRC134; SRC108</x:v>
      </x:c>
    </x:row>
    <x:row r="62" ht="58" customHeight="1">
      <x:c r="A62" s="43" t="str">
        <x:v>OP-PSY-0058</x:v>
      </x:c>
      <x:c r="B62" s="43" t="str">
        <x:v>PSY-020</x:v>
      </x:c>
      <x:c r="C62" s="43" t="str">
        <x:v>Perceived Belonging</x:v>
      </x:c>
      <x:c r="D62" s="43" t="str">
        <x:v>Construct-specific assessment: Belonging ratings</x:v>
      </x:c>
      <x:c r="E62" s="43" t="str">
        <x:v>Self-report / assessment</x:v>
      </x:c>
      <x:c r="F62" s="43" t="str">
        <x:v>Low–high belonging; momentary or chronic scale</x:v>
      </x:c>
      <x:c r="G62" s="43" t="str">
        <x:v>Moderate</x:v>
      </x:c>
      <x:c r="H62" s="43" t="str">
        <x:v>Perceived social conditions are not interchangeable with measured group conditions and can vary by reference group. Use behavior-, target-, and time-specific wording and report reliability and invariance where relevant.</x:v>
      </x:c>
      <x:c r="I62" s="43" t="str">
        <x:v>SRC135; SRC108</x:v>
      </x:c>
    </x:row>
    <x:row r="63" ht="58" customHeight="1">
      <x:c r="A63" s="43" t="str">
        <x:v>OP-PSY-0059</x:v>
      </x:c>
      <x:c r="B63" s="43" t="str">
        <x:v>PSY-020</x:v>
      </x:c>
      <x:c r="C63" s="43" t="str">
        <x:v>Perceived Belonging</x:v>
      </x:c>
      <x:c r="D63" s="43" t="str">
        <x:v>Behavioral or scenario-based indicator: inclusion language</x:v>
      </x:c>
      <x:c r="E63" s="43" t="str">
        <x:v>Behavioral / clinical assessment</x:v>
      </x:c>
      <x:c r="F63" s="43" t="str">
        <x:v>Low–high belonging; momentary or chronic scale</x:v>
      </x:c>
      <x:c r="G63" s="43" t="str">
        <x:v>Moderate</x:v>
      </x:c>
      <x:c r="H63" s="43" t="str">
        <x:v>Perceived social conditions are not interchangeable with measured group conditions and can vary by reference group. Behavioral manifestations are conditional and should be triangulated with construct-specific assessment.</x:v>
      </x:c>
      <x:c r="I63" s="43" t="str">
        <x:v>SRC135; SRC108</x:v>
      </x:c>
    </x:row>
    <x:row r="64" ht="58" customHeight="1">
      <x:c r="A64" s="43" t="str">
        <x:v>OP-PSY-0060</x:v>
      </x:c>
      <x:c r="B64" s="43" t="str">
        <x:v>PSY-020</x:v>
      </x:c>
      <x:c r="C64" s="43" t="str">
        <x:v>Perceived Belonging</x:v>
      </x:c>
      <x:c r="D64" s="43" t="str">
        <x:v>Structured scenario or expert-coded elicitation for Perceived Belonging</x:v>
      </x:c>
      <x:c r="E64" s="43" t="str">
        <x:v>Expert elicitation</x:v>
      </x:c>
      <x:c r="F64" s="43" t="str">
        <x:v>Anchored ordinal or continuous judgment with documented rubric</x:v>
      </x:c>
      <x:c r="G64" s="43" t="str">
        <x:v>Moderate</x:v>
      </x:c>
      <x:c r="H64" s="43" t="str">
        <x:v>Perceived social conditions are not interchangeable with measured group conditions and can vary by reference group. Expert inference should use multiple raters, explicit uncertainty, and evidence independent of the target outcome.</x:v>
      </x:c>
      <x:c r="I64" s="43" t="str">
        <x:v>SRC135; SRC108</x:v>
      </x:c>
    </x:row>
    <x:row r="65" ht="58" customHeight="1">
      <x:c r="A65" s="43" t="str">
        <x:v>OP-PSY-0061</x:v>
      </x:c>
      <x:c r="B65" s="43" t="str">
        <x:v>PSY-021</x:v>
      </x:c>
      <x:c r="C65" s="43" t="str">
        <x:v>Interpersonal Trust</x:v>
      </x:c>
      <x:c r="D65" s="43" t="str">
        <x:v>Construct-specific assessment: Trust ratings</x:v>
      </x:c>
      <x:c r="E65" s="43" t="str">
        <x:v>Self-report / assessment</x:v>
      </x:c>
      <x:c r="F65" s="43" t="str">
        <x:v>Low–high trust; probability of reliable or benevolent conduct</x:v>
      </x:c>
      <x:c r="G65" s="43" t="str">
        <x:v>Moderate</x:v>
      </x:c>
      <x:c r="H65" s="43" t="str">
        <x:v>Perceived social conditions are not interchangeable with measured group conditions and can vary by reference group. Use behavior-, target-, and time-specific wording and report reliability and invariance where relevant.</x:v>
      </x:c>
      <x:c r="I65" s="43" t="str">
        <x:v>SRC136; SRC109</x:v>
      </x:c>
    </x:row>
    <x:row r="66" ht="58" customHeight="1">
      <x:c r="A66" s="43" t="str">
        <x:v>OP-PSY-0062</x:v>
      </x:c>
      <x:c r="B66" s="43" t="str">
        <x:v>PSY-021</x:v>
      </x:c>
      <x:c r="C66" s="43" t="str">
        <x:v>Interpersonal Trust</x:v>
      </x:c>
      <x:c r="D66" s="43" t="str">
        <x:v>Behavioral or scenario-based indicator: reliance choices</x:v>
      </x:c>
      <x:c r="E66" s="43" t="str">
        <x:v>Behavioral / clinical assessment</x:v>
      </x:c>
      <x:c r="F66" s="43" t="str">
        <x:v>Low–high trust; probability of reliable or benevolent conduct</x:v>
      </x:c>
      <x:c r="G66" s="43" t="str">
        <x:v>Moderate</x:v>
      </x:c>
      <x:c r="H66" s="43" t="str">
        <x:v>Perceived social conditions are not interchangeable with measured group conditions and can vary by reference group. Behavioral manifestations are conditional and should be triangulated with construct-specific assessment.</x:v>
      </x:c>
      <x:c r="I66" s="43" t="str">
        <x:v>SRC136; SRC109</x:v>
      </x:c>
    </x:row>
    <x:row r="67" ht="58" customHeight="1">
      <x:c r="A67" s="43" t="str">
        <x:v>OP-PSY-0063</x:v>
      </x:c>
      <x:c r="B67" s="43" t="str">
        <x:v>PSY-021</x:v>
      </x:c>
      <x:c r="C67" s="43" t="str">
        <x:v>Interpersonal Trust</x:v>
      </x:c>
      <x:c r="D67" s="43" t="str">
        <x:v>Structured scenario or expert-coded elicitation for Interpersonal Trust</x:v>
      </x:c>
      <x:c r="E67" s="43" t="str">
        <x:v>Expert elicitation</x:v>
      </x:c>
      <x:c r="F67" s="43" t="str">
        <x:v>Anchored ordinal or continuous judgment with documented rubric</x:v>
      </x:c>
      <x:c r="G67" s="43" t="str">
        <x:v>Moderate</x:v>
      </x:c>
      <x:c r="H67" s="43" t="str">
        <x:v>Perceived social conditions are not interchangeable with measured group conditions and can vary by reference group. Expert inference should use multiple raters, explicit uncertainty, and evidence independent of the target outcome.</x:v>
      </x:c>
      <x:c r="I67" s="43" t="str">
        <x:v>SRC136; SRC109</x:v>
      </x:c>
    </x:row>
    <x:row r="68" ht="58" customHeight="1">
      <x:c r="A68" s="43" t="str">
        <x:v>OP-PSY-0064</x:v>
      </x:c>
      <x:c r="B68" s="43" t="str">
        <x:v>PSY-022</x:v>
      </x:c>
      <x:c r="C68" s="43" t="str">
        <x:v>Perceived Fairness</x:v>
      </x:c>
      <x:c r="D68" s="43" t="str">
        <x:v>Construct-specific assessment: Justice ratings</x:v>
      </x:c>
      <x:c r="E68" s="43" t="str">
        <x:v>Self-report / assessment</x:v>
      </x:c>
      <x:c r="F68" s="43" t="str">
        <x:v>Procedural, distributive, interpersonal, and informational justice subscales</x:v>
      </x:c>
      <x:c r="G68" s="43" t="str">
        <x:v>Moderate</x:v>
      </x:c>
      <x:c r="H68" s="43" t="str">
        <x:v>Perceived social conditions are not interchangeable with measured group conditions and can vary by reference group. Use behavior-, target-, and time-specific wording and report reliability and invariance where relevant.</x:v>
      </x:c>
      <x:c r="I68" s="43" t="str">
        <x:v>SRC133; SRC137</x:v>
      </x:c>
    </x:row>
    <x:row r="69" ht="58" customHeight="1">
      <x:c r="A69" s="43" t="str">
        <x:v>OP-PSY-0065</x:v>
      </x:c>
      <x:c r="B69" s="43" t="str">
        <x:v>PSY-022</x:v>
      </x:c>
      <x:c r="C69" s="43" t="str">
        <x:v>Perceived Fairness</x:v>
      </x:c>
      <x:c r="D69" s="43" t="str">
        <x:v>Behavioral or scenario-based indicator: acceptance</x:v>
      </x:c>
      <x:c r="E69" s="43" t="str">
        <x:v>Behavioral / clinical assessment</x:v>
      </x:c>
      <x:c r="F69" s="43" t="str">
        <x:v>Procedural, distributive, interpersonal, and informational justice subscales</x:v>
      </x:c>
      <x:c r="G69" s="43" t="str">
        <x:v>Moderate</x:v>
      </x:c>
      <x:c r="H69" s="43" t="str">
        <x:v>Perceived social conditions are not interchangeable with measured group conditions and can vary by reference group. Behavioral manifestations are conditional and should be triangulated with construct-specific assessment.</x:v>
      </x:c>
      <x:c r="I69" s="43" t="str">
        <x:v>SRC133; SRC137</x:v>
      </x:c>
    </x:row>
    <x:row r="70" ht="58" customHeight="1">
      <x:c r="A70" s="43" t="str">
        <x:v>OP-PSY-0066</x:v>
      </x:c>
      <x:c r="B70" s="43" t="str">
        <x:v>PSY-022</x:v>
      </x:c>
      <x:c r="C70" s="43" t="str">
        <x:v>Perceived Fairness</x:v>
      </x:c>
      <x:c r="D70" s="43" t="str">
        <x:v>Structured scenario or expert-coded elicitation for Perceived Fairness</x:v>
      </x:c>
      <x:c r="E70" s="43" t="str">
        <x:v>Expert elicitation</x:v>
      </x:c>
      <x:c r="F70" s="43" t="str">
        <x:v>Anchored ordinal or continuous judgment with documented rubric</x:v>
      </x:c>
      <x:c r="G70" s="43" t="str">
        <x:v>Moderate</x:v>
      </x:c>
      <x:c r="H70" s="43" t="str">
        <x:v>Perceived social conditions are not interchangeable with measured group conditions and can vary by reference group. Expert inference should use multiple raters, explicit uncertainty, and evidence independent of the target outcome.</x:v>
      </x:c>
      <x:c r="I70" s="43" t="str">
        <x:v>SRC133; SRC137</x:v>
      </x:c>
    </x:row>
    <x:row r="71" ht="58" customHeight="1">
      <x:c r="A71" s="43" t="str">
        <x:v>OP-PSY-0067</x:v>
      </x:c>
      <x:c r="B71" s="43" t="str">
        <x:v>PSY-023</x:v>
      </x:c>
      <x:c r="C71" s="43" t="str">
        <x:v>Perceived Legitimacy</x:v>
      </x:c>
      <x:c r="D71" s="43" t="str">
        <x:v>Construct-specific assessment: Legitimacy ratings</x:v>
      </x:c>
      <x:c r="E71" s="43" t="str">
        <x:v>Self-report / assessment</x:v>
      </x:c>
      <x:c r="F71" s="43" t="str">
        <x:v>Low–high legitimacy; obligation-to-obey scale</x:v>
      </x:c>
      <x:c r="G71" s="43" t="str">
        <x:v>Moderate</x:v>
      </x:c>
      <x:c r="H71" s="43" t="str">
        <x:v>Perceived social conditions are not interchangeable with measured group conditions and can vary by reference group. Use behavior-, target-, and time-specific wording and report reliability and invariance where relevant.</x:v>
      </x:c>
      <x:c r="I71" s="43" t="str">
        <x:v>SRC137; SRC133</x:v>
      </x:c>
    </x:row>
    <x:row r="72" ht="58" customHeight="1">
      <x:c r="A72" s="43" t="str">
        <x:v>OP-PSY-0068</x:v>
      </x:c>
      <x:c r="B72" s="43" t="str">
        <x:v>PSY-023</x:v>
      </x:c>
      <x:c r="C72" s="43" t="str">
        <x:v>Perceived Legitimacy</x:v>
      </x:c>
      <x:c r="D72" s="43" t="str">
        <x:v>Behavioral or scenario-based indicator: felt duty</x:v>
      </x:c>
      <x:c r="E72" s="43" t="str">
        <x:v>Behavioral / clinical assessment</x:v>
      </x:c>
      <x:c r="F72" s="43" t="str">
        <x:v>Low–high legitimacy; obligation-to-obey scale</x:v>
      </x:c>
      <x:c r="G72" s="43" t="str">
        <x:v>Moderate</x:v>
      </x:c>
      <x:c r="H72" s="43" t="str">
        <x:v>Perceived social conditions are not interchangeable with measured group conditions and can vary by reference group. Behavioral manifestations are conditional and should be triangulated with construct-specific assessment.</x:v>
      </x:c>
      <x:c r="I72" s="43" t="str">
        <x:v>SRC137; SRC133</x:v>
      </x:c>
    </x:row>
    <x:row r="73" ht="58" customHeight="1">
      <x:c r="A73" s="43" t="str">
        <x:v>OP-PSY-0069</x:v>
      </x:c>
      <x:c r="B73" s="43" t="str">
        <x:v>PSY-023</x:v>
      </x:c>
      <x:c r="C73" s="43" t="str">
        <x:v>Perceived Legitimacy</x:v>
      </x:c>
      <x:c r="D73" s="43" t="str">
        <x:v>Structured scenario or expert-coded elicitation for Perceived Legitimacy</x:v>
      </x:c>
      <x:c r="E73" s="43" t="str">
        <x:v>Expert elicitation</x:v>
      </x:c>
      <x:c r="F73" s="43" t="str">
        <x:v>Anchored ordinal or continuous judgment with documented rubric</x:v>
      </x:c>
      <x:c r="G73" s="43" t="str">
        <x:v>Moderate</x:v>
      </x:c>
      <x:c r="H73" s="43" t="str">
        <x:v>Perceived social conditions are not interchangeable with measured group conditions and can vary by reference group. Expert inference should use multiple raters, explicit uncertainty, and evidence independent of the target outcome.</x:v>
      </x:c>
      <x:c r="I73" s="43" t="str">
        <x:v>SRC137; SRC133</x:v>
      </x:c>
    </x:row>
    <x:row r="74" ht="58" customHeight="1">
      <x:c r="A74" s="43" t="str">
        <x:v>OP-PSY-0070</x:v>
      </x:c>
      <x:c r="B74" s="43" t="str">
        <x:v>PSY-024</x:v>
      </x:c>
      <x:c r="C74" s="43" t="str">
        <x:v>Perceived Social Exclusion</x:v>
      </x:c>
      <x:c r="D74" s="43" t="str">
        <x:v>Construct-specific assessment: Exclusion ratings</x:v>
      </x:c>
      <x:c r="E74" s="43" t="str">
        <x:v>Self-report / assessment</x:v>
      </x:c>
      <x:c r="F74" s="43" t="str">
        <x:v>Low–high exclusion or ostracism intensity</x:v>
      </x:c>
      <x:c r="G74" s="43" t="str">
        <x:v>Moderate</x:v>
      </x:c>
      <x:c r="H74" s="43" t="str">
        <x:v>Perceived social conditions are not interchangeable with measured group conditions and can vary by reference group. Use behavior-, target-, and time-specific wording and report reliability and invariance where relevant.</x:v>
      </x:c>
      <x:c r="I74" s="43" t="str">
        <x:v>SRC135; SRC172</x:v>
      </x:c>
    </x:row>
    <x:row r="75" ht="58" customHeight="1">
      <x:c r="A75" s="43" t="str">
        <x:v>OP-PSY-0071</x:v>
      </x:c>
      <x:c r="B75" s="43" t="str">
        <x:v>PSY-024</x:v>
      </x:c>
      <x:c r="C75" s="43" t="str">
        <x:v>Perceived Social Exclusion</x:v>
      </x:c>
      <x:c r="D75" s="43" t="str">
        <x:v>Behavioral or scenario-based indicator: rejection cues noticed</x:v>
      </x:c>
      <x:c r="E75" s="43" t="str">
        <x:v>Behavioral / clinical assessment</x:v>
      </x:c>
      <x:c r="F75" s="43" t="str">
        <x:v>Low–high exclusion or ostracism intensity</x:v>
      </x:c>
      <x:c r="G75" s="43" t="str">
        <x:v>Moderate</x:v>
      </x:c>
      <x:c r="H75" s="43" t="str">
        <x:v>Perceived social conditions are not interchangeable with measured group conditions and can vary by reference group. Behavioral manifestations are conditional and should be triangulated with construct-specific assessment.</x:v>
      </x:c>
      <x:c r="I75" s="43" t="str">
        <x:v>SRC135; SRC172</x:v>
      </x:c>
    </x:row>
    <x:row r="76" ht="58" customHeight="1">
      <x:c r="A76" s="43" t="str">
        <x:v>OP-PSY-0072</x:v>
      </x:c>
      <x:c r="B76" s="43" t="str">
        <x:v>PSY-024</x:v>
      </x:c>
      <x:c r="C76" s="43" t="str">
        <x:v>Perceived Social Exclusion</x:v>
      </x:c>
      <x:c r="D76" s="43" t="str">
        <x:v>Structured scenario or expert-coded elicitation for Perceived Social Exclusion</x:v>
      </x:c>
      <x:c r="E76" s="43" t="str">
        <x:v>Expert elicitation</x:v>
      </x:c>
      <x:c r="F76" s="43" t="str">
        <x:v>Anchored ordinal or continuous judgment with documented rubric</x:v>
      </x:c>
      <x:c r="G76" s="43" t="str">
        <x:v>Moderate</x:v>
      </x:c>
      <x:c r="H76" s="43" t="str">
        <x:v>Perceived social conditions are not interchangeable with measured group conditions and can vary by reference group. Expert inference should use multiple raters, explicit uncertainty, and evidence independent of the target outcome.</x:v>
      </x:c>
      <x:c r="I76" s="43" t="str">
        <x:v>SRC135; SRC172</x:v>
      </x:c>
    </x:row>
    <x:row r="77" ht="58" customHeight="1">
      <x:c r="A77" s="43" t="str">
        <x:v>OP-PSY-0073</x:v>
      </x:c>
      <x:c r="B77" s="43" t="str">
        <x:v>PSY-025</x:v>
      </x:c>
      <x:c r="C77" s="43" t="str">
        <x:v>Perceived Status</x:v>
      </x:c>
      <x:c r="D77" s="43" t="str">
        <x:v>Construct-specific assessment: Subjective rank</x:v>
      </x:c>
      <x:c r="E77" s="43" t="str">
        <x:v>Self-report / assessment</x:v>
      </x:c>
      <x:c r="F77" s="43" t="str">
        <x:v>Low–high rank; ladder or comparative standing</x:v>
      </x:c>
      <x:c r="G77" s="43" t="str">
        <x:v>Moderate</x:v>
      </x:c>
      <x:c r="H77" s="43" t="str">
        <x:v>Perceived social conditions are not interchangeable with measured group conditions and can vary by reference group. Use behavior-, target-, and time-specific wording and report reliability and invariance where relevant.</x:v>
      </x:c>
      <x:c r="I77" s="43" t="str">
        <x:v>SRC173; SRC109</x:v>
      </x:c>
    </x:row>
    <x:row r="78" ht="58" customHeight="1">
      <x:c r="A78" s="43" t="str">
        <x:v>OP-PSY-0074</x:v>
      </x:c>
      <x:c r="B78" s="43" t="str">
        <x:v>PSY-025</x:v>
      </x:c>
      <x:c r="C78" s="43" t="str">
        <x:v>Perceived Status</x:v>
      </x:c>
      <x:c r="D78" s="43" t="str">
        <x:v>Behavioral or scenario-based indicator: expected deference</x:v>
      </x:c>
      <x:c r="E78" s="43" t="str">
        <x:v>Behavioral / clinical assessment</x:v>
      </x:c>
      <x:c r="F78" s="43" t="str">
        <x:v>Low–high rank; ladder or comparative standing</x:v>
      </x:c>
      <x:c r="G78" s="43" t="str">
        <x:v>Moderate</x:v>
      </x:c>
      <x:c r="H78" s="43" t="str">
        <x:v>Perceived social conditions are not interchangeable with measured group conditions and can vary by reference group. Behavioral manifestations are conditional and should be triangulated with construct-specific assessment.</x:v>
      </x:c>
      <x:c r="I78" s="43" t="str">
        <x:v>SRC173; SRC109</x:v>
      </x:c>
    </x:row>
    <x:row r="79" ht="58" customHeight="1">
      <x:c r="A79" s="43" t="str">
        <x:v>OP-PSY-0075</x:v>
      </x:c>
      <x:c r="B79" s="43" t="str">
        <x:v>PSY-025</x:v>
      </x:c>
      <x:c r="C79" s="43" t="str">
        <x:v>Perceived Status</x:v>
      </x:c>
      <x:c r="D79" s="43" t="str">
        <x:v>Structured scenario or expert-coded elicitation for Perceived Status</x:v>
      </x:c>
      <x:c r="E79" s="43" t="str">
        <x:v>Expert elicitation</x:v>
      </x:c>
      <x:c r="F79" s="43" t="str">
        <x:v>Anchored ordinal or continuous judgment with documented rubric</x:v>
      </x:c>
      <x:c r="G79" s="43" t="str">
        <x:v>Moderate</x:v>
      </x:c>
      <x:c r="H79" s="43" t="str">
        <x:v>Perceived social conditions are not interchangeable with measured group conditions and can vary by reference group. Expert inference should use multiple raters, explicit uncertainty, and evidence independent of the target outcome.</x:v>
      </x:c>
      <x:c r="I79" s="43" t="str">
        <x:v>SRC173; SRC109</x:v>
      </x:c>
    </x:row>
    <x:row r="80" ht="58" customHeight="1">
      <x:c r="A80" s="43" t="str">
        <x:v>OP-PSY-0076</x:v>
      </x:c>
      <x:c r="B80" s="43" t="str">
        <x:v>PSY-026</x:v>
      </x:c>
      <x:c r="C80" s="43" t="str">
        <x:v>Intention Strength</x:v>
      </x:c>
      <x:c r="D80" s="43" t="str">
        <x:v>Construct-specific assessment: Stated likelihood</x:v>
      </x:c>
      <x:c r="E80" s="43" t="str">
        <x:v>Self-report / assessment</x:v>
      </x:c>
      <x:c r="F80" s="43" t="str">
        <x:v>Low–high intention; probability or likelihood of acting</x:v>
      </x:c>
      <x:c r="G80" s="43" t="str">
        <x:v>Moderate</x:v>
      </x:c>
      <x:c r="H80" s="43" t="str">
        <x:v>Motivation is action- and context-specific; stated goals and intentions can overpredict behavior when opportunity or control is weak. Use behavior-, target-, and time-specific wording and report reliability and invariance where relevant.</x:v>
      </x:c>
      <x:c r="I80" s="43" t="str">
        <x:v>SRC110; SRC107; SRC174</x:v>
      </x:c>
    </x:row>
    <x:row r="81" ht="58" customHeight="1">
      <x:c r="A81" s="43" t="str">
        <x:v>OP-PSY-0077</x:v>
      </x:c>
      <x:c r="B81" s="43" t="str">
        <x:v>PSY-026</x:v>
      </x:c>
      <x:c r="C81" s="43" t="str">
        <x:v>Intention Strength</x:v>
      </x:c>
      <x:c r="D81" s="43" t="str">
        <x:v>Behavioral or scenario-based indicator: commitment language</x:v>
      </x:c>
      <x:c r="E81" s="43" t="str">
        <x:v>Behavioral / clinical assessment</x:v>
      </x:c>
      <x:c r="F81" s="43" t="str">
        <x:v>Low–high intention; probability or likelihood of acting</x:v>
      </x:c>
      <x:c r="G81" s="43" t="str">
        <x:v>Moderate</x:v>
      </x:c>
      <x:c r="H81" s="43" t="str">
        <x:v>Motivation is action- and context-specific; stated goals and intentions can overpredict behavior when opportunity or control is weak. Behavioral manifestations are conditional and should be triangulated with construct-specific assessment.</x:v>
      </x:c>
      <x:c r="I81" s="43" t="str">
        <x:v>SRC110; SRC107; SRC174</x:v>
      </x:c>
    </x:row>
    <x:row r="82" ht="58" customHeight="1">
      <x:c r="A82" s="43" t="str">
        <x:v>OP-PSY-0078</x:v>
      </x:c>
      <x:c r="B82" s="43" t="str">
        <x:v>PSY-026</x:v>
      </x:c>
      <x:c r="C82" s="43" t="str">
        <x:v>Intention Strength</x:v>
      </x:c>
      <x:c r="D82" s="43" t="str">
        <x:v>Structured scenario or expert-coded elicitation for Intention Strength</x:v>
      </x:c>
      <x:c r="E82" s="43" t="str">
        <x:v>Expert elicitation</x:v>
      </x:c>
      <x:c r="F82" s="43" t="str">
        <x:v>Anchored ordinal or continuous judgment with documented rubric</x:v>
      </x:c>
      <x:c r="G82" s="43" t="str">
        <x:v>Moderate</x:v>
      </x:c>
      <x:c r="H82" s="43" t="str">
        <x:v>Motivation is action- and context-specific; stated goals and intentions can overpredict behavior when opportunity or control is weak. Expert inference should use multiple raters, explicit uncertainty, and evidence independent of the target outcome.</x:v>
      </x:c>
      <x:c r="I82" s="43" t="str">
        <x:v>SRC110; SRC107; SRC174</x:v>
      </x:c>
    </x:row>
    <x:row r="83" ht="58" customHeight="1">
      <x:c r="A83" s="43" t="str">
        <x:v>OP-PSY-0079</x:v>
      </x:c>
      <x:c r="B83" s="43" t="str">
        <x:v>PSY-027</x:v>
      </x:c>
      <x:c r="C83" s="43" t="str">
        <x:v>Goal Commitment</x:v>
      </x:c>
      <x:c r="D83" s="43" t="str">
        <x:v>Construct-specific assessment: Persistence</x:v>
      </x:c>
      <x:c r="E83" s="43" t="str">
        <x:v>Self-report / assessment</x:v>
      </x:c>
      <x:c r="F83" s="43" t="str">
        <x:v>Low–high commitment scale</x:v>
      </x:c>
      <x:c r="G83" s="43" t="str">
        <x:v>Moderate</x:v>
      </x:c>
      <x:c r="H83" s="43" t="str">
        <x:v>Motivation is action- and context-specific; stated goals and intentions can overpredict behavior when opportunity or control is weak. Use behavior-, target-, and time-specific wording and report reliability and invariance where relevant.</x:v>
      </x:c>
      <x:c r="I83" s="43" t="str">
        <x:v>SRC118; SRC139</x:v>
      </x:c>
    </x:row>
    <x:row r="84" ht="58" customHeight="1">
      <x:c r="A84" s="43" t="str">
        <x:v>OP-PSY-0080</x:v>
      </x:c>
      <x:c r="B84" s="43" t="str">
        <x:v>PSY-027</x:v>
      </x:c>
      <x:c r="C84" s="43" t="str">
        <x:v>Goal Commitment</x:v>
      </x:c>
      <x:c r="D84" s="43" t="str">
        <x:v>Behavioral or scenario-based indicator: goal-protective choices</x:v>
      </x:c>
      <x:c r="E84" s="43" t="str">
        <x:v>Behavioral / clinical assessment</x:v>
      </x:c>
      <x:c r="F84" s="43" t="str">
        <x:v>Low–high commitment scale</x:v>
      </x:c>
      <x:c r="G84" s="43" t="str">
        <x:v>Moderate</x:v>
      </x:c>
      <x:c r="H84" s="43" t="str">
        <x:v>Motivation is action- and context-specific; stated goals and intentions can overpredict behavior when opportunity or control is weak. Behavioral manifestations are conditional and should be triangulated with construct-specific assessment.</x:v>
      </x:c>
      <x:c r="I84" s="43" t="str">
        <x:v>SRC118; SRC139</x:v>
      </x:c>
    </x:row>
    <x:row r="85" ht="58" customHeight="1">
      <x:c r="A85" s="43" t="str">
        <x:v>OP-PSY-0081</x:v>
      </x:c>
      <x:c r="B85" s="43" t="str">
        <x:v>PSY-027</x:v>
      </x:c>
      <x:c r="C85" s="43" t="str">
        <x:v>Goal Commitment</x:v>
      </x:c>
      <x:c r="D85" s="43" t="str">
        <x:v>Structured scenario or expert-coded elicitation for Goal Commitment</x:v>
      </x:c>
      <x:c r="E85" s="43" t="str">
        <x:v>Expert elicitation</x:v>
      </x:c>
      <x:c r="F85" s="43" t="str">
        <x:v>Anchored ordinal or continuous judgment with documented rubric</x:v>
      </x:c>
      <x:c r="G85" s="43" t="str">
        <x:v>Moderate</x:v>
      </x:c>
      <x:c r="H85" s="43" t="str">
        <x:v>Motivation is action- and context-specific; stated goals and intentions can overpredict behavior when opportunity or control is weak. Expert inference should use multiple raters, explicit uncertainty, and evidence independent of the target outcome.</x:v>
      </x:c>
      <x:c r="I85" s="43" t="str">
        <x:v>SRC118; SRC139</x:v>
      </x:c>
    </x:row>
    <x:row r="86" ht="58" customHeight="1">
      <x:c r="A86" s="43" t="str">
        <x:v>OP-PSY-0082</x:v>
      </x:c>
      <x:c r="B86" s="43" t="str">
        <x:v>PSY-028</x:v>
      </x:c>
      <x:c r="C86" s="43" t="str">
        <x:v>Goal Specificity</x:v>
      </x:c>
      <x:c r="D86" s="43" t="str">
        <x:v>Construct-specific assessment: Quantified target</x:v>
      </x:c>
      <x:c r="E86" s="43" t="str">
        <x:v>Self-report / assessment</x:v>
      </x:c>
      <x:c r="F86" s="43" t="str">
        <x:v>Vague–specific; coded goal precision</x:v>
      </x:c>
      <x:c r="G86" s="43" t="str">
        <x:v>Moderate</x:v>
      </x:c>
      <x:c r="H86" s="43" t="str">
        <x:v>Motivation is action- and context-specific; stated goals and intentions can overpredict behavior when opportunity or control is weak. Use behavior-, target-, and time-specific wording and report reliability and invariance where relevant.</x:v>
      </x:c>
      <x:c r="I86" s="43" t="str">
        <x:v>SRC118; SRC139</x:v>
      </x:c>
    </x:row>
    <x:row r="87" ht="58" customHeight="1">
      <x:c r="A87" s="43" t="str">
        <x:v>OP-PSY-0083</x:v>
      </x:c>
      <x:c r="B87" s="43" t="str">
        <x:v>PSY-028</x:v>
      </x:c>
      <x:c r="C87" s="43" t="str">
        <x:v>Goal Specificity</x:v>
      </x:c>
      <x:c r="D87" s="43" t="str">
        <x:v>Behavioral or scenario-based indicator: unambiguous endpoint</x:v>
      </x:c>
      <x:c r="E87" s="43" t="str">
        <x:v>Behavioral / clinical assessment</x:v>
      </x:c>
      <x:c r="F87" s="43" t="str">
        <x:v>Vague–specific; coded goal precision</x:v>
      </x:c>
      <x:c r="G87" s="43" t="str">
        <x:v>Moderate</x:v>
      </x:c>
      <x:c r="H87" s="43" t="str">
        <x:v>Motivation is action- and context-specific; stated goals and intentions can overpredict behavior when opportunity or control is weak. Behavioral manifestations are conditional and should be triangulated with construct-specific assessment.</x:v>
      </x:c>
      <x:c r="I87" s="43" t="str">
        <x:v>SRC118; SRC139</x:v>
      </x:c>
    </x:row>
    <x:row r="88" ht="58" customHeight="1">
      <x:c r="A88" s="43" t="str">
        <x:v>OP-PSY-0084</x:v>
      </x:c>
      <x:c r="B88" s="43" t="str">
        <x:v>PSY-028</x:v>
      </x:c>
      <x:c r="C88" s="43" t="str">
        <x:v>Goal Specificity</x:v>
      </x:c>
      <x:c r="D88" s="43" t="str">
        <x:v>Structured scenario or expert-coded elicitation for Goal Specificity</x:v>
      </x:c>
      <x:c r="E88" s="43" t="str">
        <x:v>Expert elicitation</x:v>
      </x:c>
      <x:c r="F88" s="43" t="str">
        <x:v>Anchored ordinal or continuous judgment with documented rubric</x:v>
      </x:c>
      <x:c r="G88" s="43" t="str">
        <x:v>Moderate</x:v>
      </x:c>
      <x:c r="H88" s="43" t="str">
        <x:v>Motivation is action- and context-specific; stated goals and intentions can overpredict behavior when opportunity or control is weak. Expert inference should use multiple raters, explicit uncertainty, and evidence independent of the target outcome.</x:v>
      </x:c>
      <x:c r="I88" s="43" t="str">
        <x:v>SRC118; SRC139</x:v>
      </x:c>
    </x:row>
    <x:row r="89" ht="58" customHeight="1">
      <x:c r="A89" s="43" t="str">
        <x:v>OP-PSY-0085</x:v>
      </x:c>
      <x:c r="B89" s="43" t="str">
        <x:v>PSY-029</x:v>
      </x:c>
      <x:c r="C89" s="43" t="str">
        <x:v>Goal Difficulty</x:v>
      </x:c>
      <x:c r="D89" s="43" t="str">
        <x:v>Construct-specific assessment: Difficulty rating</x:v>
      </x:c>
      <x:c r="E89" s="43" t="str">
        <x:v>Self-report / assessment</x:v>
      </x:c>
      <x:c r="F89" s="43" t="str">
        <x:v>Very easy–very difficult; target-performance gap</x:v>
      </x:c>
      <x:c r="G89" s="43" t="str">
        <x:v>Moderate</x:v>
      </x:c>
      <x:c r="H89" s="43" t="str">
        <x:v>Motivation is action- and context-specific; stated goals and intentions can overpredict behavior when opportunity or control is weak. Use behavior-, target-, and time-specific wording and report reliability and invariance where relevant.</x:v>
      </x:c>
      <x:c r="I89" s="43" t="str">
        <x:v>SRC118; SRC111</x:v>
      </x:c>
    </x:row>
    <x:row r="90" ht="58" customHeight="1">
      <x:c r="A90" s="43" t="str">
        <x:v>OP-PSY-0086</x:v>
      </x:c>
      <x:c r="B90" s="43" t="str">
        <x:v>PSY-029</x:v>
      </x:c>
      <x:c r="C90" s="43" t="str">
        <x:v>Goal Difficulty</x:v>
      </x:c>
      <x:c r="D90" s="43" t="str">
        <x:v>Behavioral or scenario-based indicator: target gap</x:v>
      </x:c>
      <x:c r="E90" s="43" t="str">
        <x:v>Behavioral / clinical assessment</x:v>
      </x:c>
      <x:c r="F90" s="43" t="str">
        <x:v>Very easy–very difficult; target-performance gap</x:v>
      </x:c>
      <x:c r="G90" s="43" t="str">
        <x:v>Moderate</x:v>
      </x:c>
      <x:c r="H90" s="43" t="str">
        <x:v>Motivation is action- and context-specific; stated goals and intentions can overpredict behavior when opportunity or control is weak. Behavioral manifestations are conditional and should be triangulated with construct-specific assessment.</x:v>
      </x:c>
      <x:c r="I90" s="43" t="str">
        <x:v>SRC118; SRC111</x:v>
      </x:c>
    </x:row>
    <x:row r="91" ht="58" customHeight="1">
      <x:c r="A91" s="43" t="str">
        <x:v>OP-PSY-0087</x:v>
      </x:c>
      <x:c r="B91" s="43" t="str">
        <x:v>PSY-029</x:v>
      </x:c>
      <x:c r="C91" s="43" t="str">
        <x:v>Goal Difficulty</x:v>
      </x:c>
      <x:c r="D91" s="43" t="str">
        <x:v>Structured scenario or expert-coded elicitation for Goal Difficulty</x:v>
      </x:c>
      <x:c r="E91" s="43" t="str">
        <x:v>Expert elicitation</x:v>
      </x:c>
      <x:c r="F91" s="43" t="str">
        <x:v>Anchored ordinal or continuous judgment with documented rubric</x:v>
      </x:c>
      <x:c r="G91" s="43" t="str">
        <x:v>Moderate</x:v>
      </x:c>
      <x:c r="H91" s="43" t="str">
        <x:v>Motivation is action- and context-specific; stated goals and intentions can overpredict behavior when opportunity or control is weak. Expert inference should use multiple raters, explicit uncertainty, and evidence independent of the target outcome.</x:v>
      </x:c>
      <x:c r="I91" s="43" t="str">
        <x:v>SRC118; SRC111</x:v>
      </x:c>
    </x:row>
    <x:row r="92" ht="58" customHeight="1">
      <x:c r="A92" s="43" t="str">
        <x:v>OP-PSY-0088</x:v>
      </x:c>
      <x:c r="B92" s="43" t="str">
        <x:v>PSY-030</x:v>
      </x:c>
      <x:c r="C92" s="43" t="str">
        <x:v>Goal Conflict</x:v>
      </x:c>
      <x:c r="D92" s="43" t="str">
        <x:v>Construct-specific assessment: Competing commitments</x:v>
      </x:c>
      <x:c r="E92" s="43" t="str">
        <x:v>Self-report / assessment</x:v>
      </x:c>
      <x:c r="F92" s="43" t="str">
        <x:v>No conflict–severe conflict; pairwise conflict matrix</x:v>
      </x:c>
      <x:c r="G92" s="43" t="str">
        <x:v>Moderate</x:v>
      </x:c>
      <x:c r="H92" s="43" t="str">
        <x:v>Motivation is action- and context-specific; stated goals and intentions can overpredict behavior when opportunity or control is weak. Use behavior-, target-, and time-specific wording and report reliability and invariance where relevant.</x:v>
      </x:c>
      <x:c r="I92" s="43" t="str">
        <x:v>SRC118; SRC109</x:v>
      </x:c>
    </x:row>
    <x:row r="93" ht="58" customHeight="1">
      <x:c r="A93" s="43" t="str">
        <x:v>OP-PSY-0089</x:v>
      </x:c>
      <x:c r="B93" s="43" t="str">
        <x:v>PSY-030</x:v>
      </x:c>
      <x:c r="C93" s="43" t="str">
        <x:v>Goal Conflict</x:v>
      </x:c>
      <x:c r="D93" s="43" t="str">
        <x:v>Behavioral or scenario-based indicator: switching</x:v>
      </x:c>
      <x:c r="E93" s="43" t="str">
        <x:v>Behavioral / clinical assessment</x:v>
      </x:c>
      <x:c r="F93" s="43" t="str">
        <x:v>No conflict–severe conflict; pairwise conflict matrix</x:v>
      </x:c>
      <x:c r="G93" s="43" t="str">
        <x:v>Moderate</x:v>
      </x:c>
      <x:c r="H93" s="43" t="str">
        <x:v>Motivation is action- and context-specific; stated goals and intentions can overpredict behavior when opportunity or control is weak. Behavioral manifestations are conditional and should be triangulated with construct-specific assessment.</x:v>
      </x:c>
      <x:c r="I93" s="43" t="str">
        <x:v>SRC118; SRC109</x:v>
      </x:c>
    </x:row>
    <x:row r="94" ht="58" customHeight="1">
      <x:c r="A94" s="43" t="str">
        <x:v>OP-PSY-0090</x:v>
      </x:c>
      <x:c r="B94" s="43" t="str">
        <x:v>PSY-030</x:v>
      </x:c>
      <x:c r="C94" s="43" t="str">
        <x:v>Goal Conflict</x:v>
      </x:c>
      <x:c r="D94" s="43" t="str">
        <x:v>Structured scenario or expert-coded elicitation for Goal Conflict</x:v>
      </x:c>
      <x:c r="E94" s="43" t="str">
        <x:v>Expert elicitation</x:v>
      </x:c>
      <x:c r="F94" s="43" t="str">
        <x:v>Anchored ordinal or continuous judgment with documented rubric</x:v>
      </x:c>
      <x:c r="G94" s="43" t="str">
        <x:v>Moderate</x:v>
      </x:c>
      <x:c r="H94" s="43" t="str">
        <x:v>Motivation is action- and context-specific; stated goals and intentions can overpredict behavior when opportunity or control is weak. Expert inference should use multiple raters, explicit uncertainty, and evidence independent of the target outcome.</x:v>
      </x:c>
      <x:c r="I94" s="43" t="str">
        <x:v>SRC118; SRC109</x:v>
      </x:c>
    </x:row>
    <x:row r="95" ht="58" customHeight="1">
      <x:c r="A95" s="43" t="str">
        <x:v>OP-PSY-0091</x:v>
      </x:c>
      <x:c r="B95" s="43" t="str">
        <x:v>PSY-031</x:v>
      </x:c>
      <x:c r="C95" s="43" t="str">
        <x:v>Goal Priority</x:v>
      </x:c>
      <x:c r="D95" s="43" t="str">
        <x:v>Construct-specific assessment: Ranked goals</x:v>
      </x:c>
      <x:c r="E95" s="43" t="str">
        <x:v>Self-report / assessment</x:v>
      </x:c>
      <x:c r="F95" s="43" t="str">
        <x:v>Rank order; normalized importance weight; low–high priority</x:v>
      </x:c>
      <x:c r="G95" s="43" t="str">
        <x:v>Moderate</x:v>
      </x:c>
      <x:c r="H95" s="43" t="str">
        <x:v>Motivation is action- and context-specific; stated goals and intentions can overpredict behavior when opportunity or control is weak. Use behavior-, target-, and time-specific wording and report reliability and invariance where relevant.</x:v>
      </x:c>
      <x:c r="I95" s="43" t="str">
        <x:v>SRC118; SRC139</x:v>
      </x:c>
    </x:row>
    <x:row r="96" ht="58" customHeight="1">
      <x:c r="A96" s="43" t="str">
        <x:v>OP-PSY-0092</x:v>
      </x:c>
      <x:c r="B96" s="43" t="str">
        <x:v>PSY-031</x:v>
      </x:c>
      <x:c r="C96" s="43" t="str">
        <x:v>Goal Priority</x:v>
      </x:c>
      <x:c r="D96" s="43" t="str">
        <x:v>Behavioral or scenario-based indicator: time allocation</x:v>
      </x:c>
      <x:c r="E96" s="43" t="str">
        <x:v>Behavioral / clinical assessment</x:v>
      </x:c>
      <x:c r="F96" s="43" t="str">
        <x:v>Rank order; normalized importance weight; low–high priority</x:v>
      </x:c>
      <x:c r="G96" s="43" t="str">
        <x:v>Moderate</x:v>
      </x:c>
      <x:c r="H96" s="43" t="str">
        <x:v>Motivation is action- and context-specific; stated goals and intentions can overpredict behavior when opportunity or control is weak. Behavioral manifestations are conditional and should be triangulated with construct-specific assessment.</x:v>
      </x:c>
      <x:c r="I96" s="43" t="str">
        <x:v>SRC118; SRC139</x:v>
      </x:c>
    </x:row>
    <x:row r="97" ht="58" customHeight="1">
      <x:c r="A97" s="43" t="str">
        <x:v>OP-PSY-0093</x:v>
      </x:c>
      <x:c r="B97" s="43" t="str">
        <x:v>PSY-031</x:v>
      </x:c>
      <x:c r="C97" s="43" t="str">
        <x:v>Goal Priority</x:v>
      </x:c>
      <x:c r="D97" s="43" t="str">
        <x:v>Structured scenario or expert-coded elicitation for Goal Priority</x:v>
      </x:c>
      <x:c r="E97" s="43" t="str">
        <x:v>Expert elicitation</x:v>
      </x:c>
      <x:c r="F97" s="43" t="str">
        <x:v>Anchored ordinal or continuous judgment with documented rubric</x:v>
      </x:c>
      <x:c r="G97" s="43" t="str">
        <x:v>Moderate</x:v>
      </x:c>
      <x:c r="H97" s="43" t="str">
        <x:v>Motivation is action- and context-specific; stated goals and intentions can overpredict behavior when opportunity or control is weak. Expert inference should use multiple raters, explicit uncertainty, and evidence independent of the target outcome.</x:v>
      </x:c>
      <x:c r="I97" s="43" t="str">
        <x:v>SRC118; SRC139</x:v>
      </x:c>
    </x:row>
    <x:row r="98" ht="58" customHeight="1">
      <x:c r="A98" s="43" t="str">
        <x:v>OP-PSY-0094</x:v>
      </x:c>
      <x:c r="B98" s="43" t="str">
        <x:v>PSY-032</x:v>
      </x:c>
      <x:c r="C98" s="43" t="str">
        <x:v>Intrinsic Motivation</x:v>
      </x:c>
      <x:c r="D98" s="43" t="str">
        <x:v>Construct-specific assessment: Voluntary engagement</x:v>
      </x:c>
      <x:c r="E98" s="43" t="str">
        <x:v>Self-report / assessment</x:v>
      </x:c>
      <x:c r="F98" s="43" t="str">
        <x:v>Low–high intrinsic motivation subscale</x:v>
      </x:c>
      <x:c r="G98" s="43" t="str">
        <x:v>Moderate</x:v>
      </x:c>
      <x:c r="H98" s="43" t="str">
        <x:v>Motivation is action- and context-specific; stated goals and intentions can overpredict behavior when opportunity or control is weak. Use behavior-, target-, and time-specific wording and report reliability and invariance where relevant.</x:v>
      </x:c>
      <x:c r="I98" s="43" t="str">
        <x:v>SRC108; SRC138</x:v>
      </x:c>
    </x:row>
    <x:row r="99" ht="58" customHeight="1">
      <x:c r="A99" s="43" t="str">
        <x:v>OP-PSY-0095</x:v>
      </x:c>
      <x:c r="B99" s="43" t="str">
        <x:v>PSY-032</x:v>
      </x:c>
      <x:c r="C99" s="43" t="str">
        <x:v>Intrinsic Motivation</x:v>
      </x:c>
      <x:c r="D99" s="43" t="str">
        <x:v>Behavioral or scenario-based indicator: enjoyment</x:v>
      </x:c>
      <x:c r="E99" s="43" t="str">
        <x:v>Behavioral / clinical assessment</x:v>
      </x:c>
      <x:c r="F99" s="43" t="str">
        <x:v>Low–high intrinsic motivation subscale</x:v>
      </x:c>
      <x:c r="G99" s="43" t="str">
        <x:v>Moderate</x:v>
      </x:c>
      <x:c r="H99" s="43" t="str">
        <x:v>Motivation is action- and context-specific; stated goals and intentions can overpredict behavior when opportunity or control is weak. Behavioral manifestations are conditional and should be triangulated with construct-specific assessment.</x:v>
      </x:c>
      <x:c r="I99" s="43" t="str">
        <x:v>SRC108; SRC138</x:v>
      </x:c>
    </x:row>
    <x:row r="100" ht="58" customHeight="1">
      <x:c r="A100" s="43" t="str">
        <x:v>OP-PSY-0096</x:v>
      </x:c>
      <x:c r="B100" s="43" t="str">
        <x:v>PSY-032</x:v>
      </x:c>
      <x:c r="C100" s="43" t="str">
        <x:v>Intrinsic Motivation</x:v>
      </x:c>
      <x:c r="D100" s="43" t="str">
        <x:v>Structured scenario or expert-coded elicitation for Intrinsic Motivation</x:v>
      </x:c>
      <x:c r="E100" s="43" t="str">
        <x:v>Expert elicitation</x:v>
      </x:c>
      <x:c r="F100" s="43" t="str">
        <x:v>Anchored ordinal or continuous judgment with documented rubric</x:v>
      </x:c>
      <x:c r="G100" s="43" t="str">
        <x:v>Moderate</x:v>
      </x:c>
      <x:c r="H100" s="43" t="str">
        <x:v>Motivation is action- and context-specific; stated goals and intentions can overpredict behavior when opportunity or control is weak. Expert inference should use multiple raters, explicit uncertainty, and evidence independent of the target outcome.</x:v>
      </x:c>
      <x:c r="I100" s="43" t="str">
        <x:v>SRC108; SRC138</x:v>
      </x:c>
    </x:row>
    <x:row r="101" ht="58" customHeight="1">
      <x:c r="A101" s="43" t="str">
        <x:v>OP-PSY-0097</x:v>
      </x:c>
      <x:c r="B101" s="43" t="str">
        <x:v>PSY-033</x:v>
      </x:c>
      <x:c r="C101" s="43" t="str">
        <x:v>Autonomous Motivation</x:v>
      </x:c>
      <x:c r="D101" s="43" t="str">
        <x:v>Construct-specific assessment: Perceived choice</x:v>
      </x:c>
      <x:c r="E101" s="43" t="str">
        <x:v>Self-report / assessment</x:v>
      </x:c>
      <x:c r="F101" s="43" t="str">
        <x:v>Low–high autonomous regulation composite</x:v>
      </x:c>
      <x:c r="G101" s="43" t="str">
        <x:v>Moderate</x:v>
      </x:c>
      <x:c r="H101" s="43" t="str">
        <x:v>Motivation is action- and context-specific; stated goals and intentions can overpredict behavior when opportunity or control is weak. Use behavior-, target-, and time-specific wording and report reliability and invariance where relevant.</x:v>
      </x:c>
      <x:c r="I101" s="43" t="str">
        <x:v>SRC108; SRC138</x:v>
      </x:c>
    </x:row>
    <x:row r="102" ht="58" customHeight="1">
      <x:c r="A102" s="43" t="str">
        <x:v>OP-PSY-0098</x:v>
      </x:c>
      <x:c r="B102" s="43" t="str">
        <x:v>PSY-033</x:v>
      </x:c>
      <x:c r="C102" s="43" t="str">
        <x:v>Autonomous Motivation</x:v>
      </x:c>
      <x:c r="D102" s="43" t="str">
        <x:v>Behavioral or scenario-based indicator: identified reasons</x:v>
      </x:c>
      <x:c r="E102" s="43" t="str">
        <x:v>Behavioral / clinical assessment</x:v>
      </x:c>
      <x:c r="F102" s="43" t="str">
        <x:v>Low–high autonomous regulation composite</x:v>
      </x:c>
      <x:c r="G102" s="43" t="str">
        <x:v>Moderate</x:v>
      </x:c>
      <x:c r="H102" s="43" t="str">
        <x:v>Motivation is action- and context-specific; stated goals and intentions can overpredict behavior when opportunity or control is weak. Behavioral manifestations are conditional and should be triangulated with construct-specific assessment.</x:v>
      </x:c>
      <x:c r="I102" s="43" t="str">
        <x:v>SRC108; SRC138</x:v>
      </x:c>
    </x:row>
    <x:row r="103" ht="58" customHeight="1">
      <x:c r="A103" s="43" t="str">
        <x:v>OP-PSY-0099</x:v>
      </x:c>
      <x:c r="B103" s="43" t="str">
        <x:v>PSY-033</x:v>
      </x:c>
      <x:c r="C103" s="43" t="str">
        <x:v>Autonomous Motivation</x:v>
      </x:c>
      <x:c r="D103" s="43" t="str">
        <x:v>Structured scenario or expert-coded elicitation for Autonomous Motivation</x:v>
      </x:c>
      <x:c r="E103" s="43" t="str">
        <x:v>Expert elicitation</x:v>
      </x:c>
      <x:c r="F103" s="43" t="str">
        <x:v>Anchored ordinal or continuous judgment with documented rubric</x:v>
      </x:c>
      <x:c r="G103" s="43" t="str">
        <x:v>Moderate</x:v>
      </x:c>
      <x:c r="H103" s="43" t="str">
        <x:v>Motivation is action- and context-specific; stated goals and intentions can overpredict behavior when opportunity or control is weak. Expert inference should use multiple raters, explicit uncertainty, and evidence independent of the target outcome.</x:v>
      </x:c>
      <x:c r="I103" s="43" t="str">
        <x:v>SRC108; SRC138</x:v>
      </x:c>
    </x:row>
    <x:row r="104" ht="58" customHeight="1">
      <x:c r="A104" s="43" t="str">
        <x:v>OP-PSY-0100</x:v>
      </x:c>
      <x:c r="B104" s="43" t="str">
        <x:v>PSY-034</x:v>
      </x:c>
      <x:c r="C104" s="43" t="str">
        <x:v>Controlled Motivation</x:v>
      </x:c>
      <x:c r="D104" s="43" t="str">
        <x:v>Construct-specific assessment: Compliance under monitoring</x:v>
      </x:c>
      <x:c r="E104" s="43" t="str">
        <x:v>Self-report / assessment</x:v>
      </x:c>
      <x:c r="F104" s="43" t="str">
        <x:v>Low–high controlled regulation composite</x:v>
      </x:c>
      <x:c r="G104" s="43" t="str">
        <x:v>Moderate</x:v>
      </x:c>
      <x:c r="H104" s="43" t="str">
        <x:v>Motivation is action- and context-specific; stated goals and intentions can overpredict behavior when opportunity or control is weak. Use behavior-, target-, and time-specific wording and report reliability and invariance where relevant.</x:v>
      </x:c>
      <x:c r="I104" s="43" t="str">
        <x:v>SRC108; SRC138</x:v>
      </x:c>
    </x:row>
    <x:row r="105" ht="58" customHeight="1">
      <x:c r="A105" s="43" t="str">
        <x:v>OP-PSY-0101</x:v>
      </x:c>
      <x:c r="B105" s="43" t="str">
        <x:v>PSY-034</x:v>
      </x:c>
      <x:c r="C105" s="43" t="str">
        <x:v>Controlled Motivation</x:v>
      </x:c>
      <x:c r="D105" s="43" t="str">
        <x:v>Behavioral or scenario-based indicator: pressure ratings</x:v>
      </x:c>
      <x:c r="E105" s="43" t="str">
        <x:v>Behavioral / clinical assessment</x:v>
      </x:c>
      <x:c r="F105" s="43" t="str">
        <x:v>Low–high controlled regulation composite</x:v>
      </x:c>
      <x:c r="G105" s="43" t="str">
        <x:v>Moderate</x:v>
      </x:c>
      <x:c r="H105" s="43" t="str">
        <x:v>Motivation is action- and context-specific; stated goals and intentions can overpredict behavior when opportunity or control is weak. Behavioral manifestations are conditional and should be triangulated with construct-specific assessment.</x:v>
      </x:c>
      <x:c r="I105" s="43" t="str">
        <x:v>SRC108; SRC138</x:v>
      </x:c>
    </x:row>
    <x:row r="106" ht="58" customHeight="1">
      <x:c r="A106" s="43" t="str">
        <x:v>OP-PSY-0102</x:v>
      </x:c>
      <x:c r="B106" s="43" t="str">
        <x:v>PSY-034</x:v>
      </x:c>
      <x:c r="C106" s="43" t="str">
        <x:v>Controlled Motivation</x:v>
      </x:c>
      <x:c r="D106" s="43" t="str">
        <x:v>Structured scenario or expert-coded elicitation for Controlled Motivation</x:v>
      </x:c>
      <x:c r="E106" s="43" t="str">
        <x:v>Expert elicitation</x:v>
      </x:c>
      <x:c r="F106" s="43" t="str">
        <x:v>Anchored ordinal or continuous judgment with documented rubric</x:v>
      </x:c>
      <x:c r="G106" s="43" t="str">
        <x:v>Moderate</x:v>
      </x:c>
      <x:c r="H106" s="43" t="str">
        <x:v>Motivation is action- and context-specific; stated goals and intentions can overpredict behavior when opportunity or control is weak. Expert inference should use multiple raters, explicit uncertainty, and evidence independent of the target outcome.</x:v>
      </x:c>
      <x:c r="I106" s="43" t="str">
        <x:v>SRC108; SRC138</x:v>
      </x:c>
    </x:row>
    <x:row r="107" ht="58" customHeight="1">
      <x:c r="A107" s="43" t="str">
        <x:v>OP-PSY-0103</x:v>
      </x:c>
      <x:c r="B107" s="43" t="str">
        <x:v>PSY-035</x:v>
      </x:c>
      <x:c r="C107" s="43" t="str">
        <x:v>Autonomy Need Satisfaction</x:v>
      </x:c>
      <x:c r="D107" s="43" t="str">
        <x:v>Construct-specific assessment: Choice and volition ratings</x:v>
      </x:c>
      <x:c r="E107" s="43" t="str">
        <x:v>Self-report / assessment</x:v>
      </x:c>
      <x:c r="F107" s="43" t="str">
        <x:v>Low–high need-satisfaction scale</x:v>
      </x:c>
      <x:c r="G107" s="43" t="str">
        <x:v>Moderate</x:v>
      </x:c>
      <x:c r="H107" s="43" t="str">
        <x:v>Motivation is action- and context-specific; stated goals and intentions can overpredict behavior when opportunity or control is weak. Use behavior-, target-, and time-specific wording and report reliability and invariance where relevant.</x:v>
      </x:c>
      <x:c r="I107" s="43" t="str">
        <x:v>SRC108; SRC138</x:v>
      </x:c>
    </x:row>
    <x:row r="108" ht="58" customHeight="1">
      <x:c r="A108" s="43" t="str">
        <x:v>OP-PSY-0104</x:v>
      </x:c>
      <x:c r="B108" s="43" t="str">
        <x:v>PSY-035</x:v>
      </x:c>
      <x:c r="C108" s="43" t="str">
        <x:v>Autonomy Need Satisfaction</x:v>
      </x:c>
      <x:c r="D108" s="43" t="str">
        <x:v>Behavioral or scenario-based indicator: self-endorsed reasons</x:v>
      </x:c>
      <x:c r="E108" s="43" t="str">
        <x:v>Behavioral / clinical assessment</x:v>
      </x:c>
      <x:c r="F108" s="43" t="str">
        <x:v>Low–high need-satisfaction scale</x:v>
      </x:c>
      <x:c r="G108" s="43" t="str">
        <x:v>Moderate</x:v>
      </x:c>
      <x:c r="H108" s="43" t="str">
        <x:v>Motivation is action- and context-specific; stated goals and intentions can overpredict behavior when opportunity or control is weak. Behavioral manifestations are conditional and should be triangulated with construct-specific assessment.</x:v>
      </x:c>
      <x:c r="I108" s="43" t="str">
        <x:v>SRC108; SRC138</x:v>
      </x:c>
    </x:row>
    <x:row r="109" ht="58" customHeight="1">
      <x:c r="A109" s="43" t="str">
        <x:v>OP-PSY-0105</x:v>
      </x:c>
      <x:c r="B109" s="43" t="str">
        <x:v>PSY-035</x:v>
      </x:c>
      <x:c r="C109" s="43" t="str">
        <x:v>Autonomy Need Satisfaction</x:v>
      </x:c>
      <x:c r="D109" s="43" t="str">
        <x:v>Structured scenario or expert-coded elicitation for Autonomy Need Satisfaction</x:v>
      </x:c>
      <x:c r="E109" s="43" t="str">
        <x:v>Expert elicitation</x:v>
      </x:c>
      <x:c r="F109" s="43" t="str">
        <x:v>Anchored ordinal or continuous judgment with documented rubric</x:v>
      </x:c>
      <x:c r="G109" s="43" t="str">
        <x:v>Moderate</x:v>
      </x:c>
      <x:c r="H109" s="43" t="str">
        <x:v>Motivation is action- and context-specific; stated goals and intentions can overpredict behavior when opportunity or control is weak. Expert inference should use multiple raters, explicit uncertainty, and evidence independent of the target outcome.</x:v>
      </x:c>
      <x:c r="I109" s="43" t="str">
        <x:v>SRC108; SRC138</x:v>
      </x:c>
    </x:row>
    <x:row r="110" ht="58" customHeight="1">
      <x:c r="A110" s="43" t="str">
        <x:v>OP-PSY-0106</x:v>
      </x:c>
      <x:c r="B110" s="43" t="str">
        <x:v>PSY-036</x:v>
      </x:c>
      <x:c r="C110" s="43" t="str">
        <x:v>Competence Need Satisfaction</x:v>
      </x:c>
      <x:c r="D110" s="43" t="str">
        <x:v>Construct-specific assessment: Mastery ratings</x:v>
      </x:c>
      <x:c r="E110" s="43" t="str">
        <x:v>Self-report / assessment</x:v>
      </x:c>
      <x:c r="F110" s="43" t="str">
        <x:v>Low–high competence-satisfaction scale</x:v>
      </x:c>
      <x:c r="G110" s="43" t="str">
        <x:v>Moderate</x:v>
      </x:c>
      <x:c r="H110" s="43" t="str">
        <x:v>Motivation is action- and context-specific; stated goals and intentions can overpredict behavior when opportunity or control is weak. Use behavior-, target-, and time-specific wording and report reliability and invariance where relevant.</x:v>
      </x:c>
      <x:c r="I110" s="43" t="str">
        <x:v>SRC108; SRC138</x:v>
      </x:c>
    </x:row>
    <x:row r="111" ht="58" customHeight="1">
      <x:c r="A111" s="43" t="str">
        <x:v>OP-PSY-0107</x:v>
      </x:c>
      <x:c r="B111" s="43" t="str">
        <x:v>PSY-036</x:v>
      </x:c>
      <x:c r="C111" s="43" t="str">
        <x:v>Competence Need Satisfaction</x:v>
      </x:c>
      <x:c r="D111" s="43" t="str">
        <x:v>Behavioral or scenario-based indicator: challenge engagement</x:v>
      </x:c>
      <x:c r="E111" s="43" t="str">
        <x:v>Behavioral / clinical assessment</x:v>
      </x:c>
      <x:c r="F111" s="43" t="str">
        <x:v>Low–high competence-satisfaction scale</x:v>
      </x:c>
      <x:c r="G111" s="43" t="str">
        <x:v>Moderate</x:v>
      </x:c>
      <x:c r="H111" s="43" t="str">
        <x:v>Motivation is action- and context-specific; stated goals and intentions can overpredict behavior when opportunity or control is weak. Behavioral manifestations are conditional and should be triangulated with construct-specific assessment.</x:v>
      </x:c>
      <x:c r="I111" s="43" t="str">
        <x:v>SRC108; SRC138</x:v>
      </x:c>
    </x:row>
    <x:row r="112" ht="58" customHeight="1">
      <x:c r="A112" s="43" t="str">
        <x:v>OP-PSY-0108</x:v>
      </x:c>
      <x:c r="B112" s="43" t="str">
        <x:v>PSY-036</x:v>
      </x:c>
      <x:c r="C112" s="43" t="str">
        <x:v>Competence Need Satisfaction</x:v>
      </x:c>
      <x:c r="D112" s="43" t="str">
        <x:v>Structured scenario or expert-coded elicitation for Competence Need Satisfaction</x:v>
      </x:c>
      <x:c r="E112" s="43" t="str">
        <x:v>Expert elicitation</x:v>
      </x:c>
      <x:c r="F112" s="43" t="str">
        <x:v>Anchored ordinal or continuous judgment with documented rubric</x:v>
      </x:c>
      <x:c r="G112" s="43" t="str">
        <x:v>Moderate</x:v>
      </x:c>
      <x:c r="H112" s="43" t="str">
        <x:v>Motivation is action- and context-specific; stated goals and intentions can overpredict behavior when opportunity or control is weak. Expert inference should use multiple raters, explicit uncertainty, and evidence independent of the target outcome.</x:v>
      </x:c>
      <x:c r="I112" s="43" t="str">
        <x:v>SRC108; SRC138</x:v>
      </x:c>
    </x:row>
    <x:row r="113" ht="58" customHeight="1">
      <x:c r="A113" s="43" t="str">
        <x:v>OP-PSY-0109</x:v>
      </x:c>
      <x:c r="B113" s="43" t="str">
        <x:v>PSY-037</x:v>
      </x:c>
      <x:c r="C113" s="43" t="str">
        <x:v>Relatedness Need Satisfaction</x:v>
      </x:c>
      <x:c r="D113" s="43" t="str">
        <x:v>Construct-specific assessment: Connection ratings</x:v>
      </x:c>
      <x:c r="E113" s="43" t="str">
        <x:v>Self-report / assessment</x:v>
      </x:c>
      <x:c r="F113" s="43" t="str">
        <x:v>Low–high relatedness-satisfaction scale</x:v>
      </x:c>
      <x:c r="G113" s="43" t="str">
        <x:v>Moderate</x:v>
      </x:c>
      <x:c r="H113" s="43" t="str">
        <x:v>Motivation is action- and context-specific; stated goals and intentions can overpredict behavior when opportunity or control is weak. Use behavior-, target-, and time-specific wording and report reliability and invariance where relevant.</x:v>
      </x:c>
      <x:c r="I113" s="43" t="str">
        <x:v>SRC108; SRC138</x:v>
      </x:c>
    </x:row>
    <x:row r="114" ht="58" customHeight="1">
      <x:c r="A114" s="43" t="str">
        <x:v>OP-PSY-0110</x:v>
      </x:c>
      <x:c r="B114" s="43" t="str">
        <x:v>PSY-037</x:v>
      </x:c>
      <x:c r="C114" s="43" t="str">
        <x:v>Relatedness Need Satisfaction</x:v>
      </x:c>
      <x:c r="D114" s="43" t="str">
        <x:v>Behavioral or scenario-based indicator: willingness to engage</x:v>
      </x:c>
      <x:c r="E114" s="43" t="str">
        <x:v>Behavioral / clinical assessment</x:v>
      </x:c>
      <x:c r="F114" s="43" t="str">
        <x:v>Low–high relatedness-satisfaction scale</x:v>
      </x:c>
      <x:c r="G114" s="43" t="str">
        <x:v>Moderate</x:v>
      </x:c>
      <x:c r="H114" s="43" t="str">
        <x:v>Motivation is action- and context-specific; stated goals and intentions can overpredict behavior when opportunity or control is weak. Behavioral manifestations are conditional and should be triangulated with construct-specific assessment.</x:v>
      </x:c>
      <x:c r="I114" s="43" t="str">
        <x:v>SRC108; SRC138</x:v>
      </x:c>
    </x:row>
    <x:row r="115" ht="58" customHeight="1">
      <x:c r="A115" s="43" t="str">
        <x:v>OP-PSY-0111</x:v>
      </x:c>
      <x:c r="B115" s="43" t="str">
        <x:v>PSY-037</x:v>
      </x:c>
      <x:c r="C115" s="43" t="str">
        <x:v>Relatedness Need Satisfaction</x:v>
      </x:c>
      <x:c r="D115" s="43" t="str">
        <x:v>Structured scenario or expert-coded elicitation for Relatedness Need Satisfaction</x:v>
      </x:c>
      <x:c r="E115" s="43" t="str">
        <x:v>Expert elicitation</x:v>
      </x:c>
      <x:c r="F115" s="43" t="str">
        <x:v>Anchored ordinal or continuous judgment with documented rubric</x:v>
      </x:c>
      <x:c r="G115" s="43" t="str">
        <x:v>Moderate</x:v>
      </x:c>
      <x:c r="H115" s="43" t="str">
        <x:v>Motivation is action- and context-specific; stated goals and intentions can overpredict behavior when opportunity or control is weak. Expert inference should use multiple raters, explicit uncertainty, and evidence independent of the target outcome.</x:v>
      </x:c>
      <x:c r="I115" s="43" t="str">
        <x:v>SRC108; SRC138</x:v>
      </x:c>
    </x:row>
    <x:row r="116" ht="58" customHeight="1">
      <x:c r="A116" s="43" t="str">
        <x:v>OP-PSY-0112</x:v>
      </x:c>
      <x:c r="B116" s="43" t="str">
        <x:v>PSY-038</x:v>
      </x:c>
      <x:c r="C116" s="43" t="str">
        <x:v>Approach Motivation</x:v>
      </x:c>
      <x:c r="D116" s="43" t="str">
        <x:v>Construct-specific assessment: Approach choice</x:v>
      </x:c>
      <x:c r="E116" s="43" t="str">
        <x:v>Self-report / assessment</x:v>
      </x:c>
      <x:c r="F116" s="43" t="str">
        <x:v>Low–high approach motivation or activation</x:v>
      </x:c>
      <x:c r="G116" s="43" t="str">
        <x:v>Moderate</x:v>
      </x:c>
      <x:c r="H116" s="43" t="str">
        <x:v>Motivation is action- and context-specific; stated goals and intentions can overpredict behavior when opportunity or control is weak. Use behavior-, target-, and time-specific wording and report reliability and invariance where relevant.</x:v>
      </x:c>
      <x:c r="I116" s="43" t="str">
        <x:v>SRC163; SRC115</x:v>
      </x:c>
    </x:row>
    <x:row r="117" ht="58" customHeight="1">
      <x:c r="A117" s="43" t="str">
        <x:v>OP-PSY-0113</x:v>
      </x:c>
      <x:c r="B117" s="43" t="str">
        <x:v>PSY-038</x:v>
      </x:c>
      <x:c r="C117" s="43" t="str">
        <x:v>Approach Motivation</x:v>
      </x:c>
      <x:c r="D117" s="43" t="str">
        <x:v>Behavioral or scenario-based indicator: reduced latency</x:v>
      </x:c>
      <x:c r="E117" s="43" t="str">
        <x:v>Behavioral / clinical assessment</x:v>
      </x:c>
      <x:c r="F117" s="43" t="str">
        <x:v>Low–high approach motivation or activation</x:v>
      </x:c>
      <x:c r="G117" s="43" t="str">
        <x:v>Moderate</x:v>
      </x:c>
      <x:c r="H117" s="43" t="str">
        <x:v>Motivation is action- and context-specific; stated goals and intentions can overpredict behavior when opportunity or control is weak. Behavioral manifestations are conditional and should be triangulated with construct-specific assessment.</x:v>
      </x:c>
      <x:c r="I117" s="43" t="str">
        <x:v>SRC163; SRC115</x:v>
      </x:c>
    </x:row>
    <x:row r="118" ht="58" customHeight="1">
      <x:c r="A118" s="43" t="str">
        <x:v>OP-PSY-0114</x:v>
      </x:c>
      <x:c r="B118" s="43" t="str">
        <x:v>PSY-038</x:v>
      </x:c>
      <x:c r="C118" s="43" t="str">
        <x:v>Approach Motivation</x:v>
      </x:c>
      <x:c r="D118" s="43" t="str">
        <x:v>Structured scenario or expert-coded elicitation for Approach Motivation</x:v>
      </x:c>
      <x:c r="E118" s="43" t="str">
        <x:v>Expert elicitation</x:v>
      </x:c>
      <x:c r="F118" s="43" t="str">
        <x:v>Anchored ordinal or continuous judgment with documented rubric</x:v>
      </x:c>
      <x:c r="G118" s="43" t="str">
        <x:v>Moderate</x:v>
      </x:c>
      <x:c r="H118" s="43" t="str">
        <x:v>Motivation is action- and context-specific; stated goals and intentions can overpredict behavior when opportunity or control is weak. Expert inference should use multiple raters, explicit uncertainty, and evidence independent of the target outcome.</x:v>
      </x:c>
      <x:c r="I118" s="43" t="str">
        <x:v>SRC163; SRC115</x:v>
      </x:c>
    </x:row>
    <x:row r="119" ht="58" customHeight="1">
      <x:c r="A119" s="43" t="str">
        <x:v>OP-PSY-0115</x:v>
      </x:c>
      <x:c r="B119" s="43" t="str">
        <x:v>PSY-039</x:v>
      </x:c>
      <x:c r="C119" s="43" t="str">
        <x:v>Avoidance Motivation</x:v>
      </x:c>
      <x:c r="D119" s="43" t="str">
        <x:v>Construct-specific assessment: Avoidance choice</x:v>
      </x:c>
      <x:c r="E119" s="43" t="str">
        <x:v>Self-report / assessment</x:v>
      </x:c>
      <x:c r="F119" s="43" t="str">
        <x:v>Low–high avoidance motivation or inhibition</x:v>
      </x:c>
      <x:c r="G119" s="43" t="str">
        <x:v>Moderate</x:v>
      </x:c>
      <x:c r="H119" s="43" t="str">
        <x:v>Motivation is action- and context-specific; stated goals and intentions can overpredict behavior when opportunity or control is weak. Use behavior-, target-, and time-specific wording and report reliability and invariance where relevant.</x:v>
      </x:c>
      <x:c r="I119" s="43" t="str">
        <x:v>SRC163; SRC124</x:v>
      </x:c>
    </x:row>
    <x:row r="120" ht="58" customHeight="1">
      <x:c r="A120" s="43" t="str">
        <x:v>OP-PSY-0116</x:v>
      </x:c>
      <x:c r="B120" s="43" t="str">
        <x:v>PSY-039</x:v>
      </x:c>
      <x:c r="C120" s="43" t="str">
        <x:v>Avoidance Motivation</x:v>
      </x:c>
      <x:c r="D120" s="43" t="str">
        <x:v>Behavioral or scenario-based indicator: vigilance</x:v>
      </x:c>
      <x:c r="E120" s="43" t="str">
        <x:v>Behavioral / clinical assessment</x:v>
      </x:c>
      <x:c r="F120" s="43" t="str">
        <x:v>Low–high avoidance motivation or inhibition</x:v>
      </x:c>
      <x:c r="G120" s="43" t="str">
        <x:v>Moderate</x:v>
      </x:c>
      <x:c r="H120" s="43" t="str">
        <x:v>Motivation is action- and context-specific; stated goals and intentions can overpredict behavior when opportunity or control is weak. Behavioral manifestations are conditional and should be triangulated with construct-specific assessment.</x:v>
      </x:c>
      <x:c r="I120" s="43" t="str">
        <x:v>SRC163; SRC124</x:v>
      </x:c>
    </x:row>
    <x:row r="121" ht="58" customHeight="1">
      <x:c r="A121" s="43" t="str">
        <x:v>OP-PSY-0117</x:v>
      </x:c>
      <x:c r="B121" s="43" t="str">
        <x:v>PSY-039</x:v>
      </x:c>
      <x:c r="C121" s="43" t="str">
        <x:v>Avoidance Motivation</x:v>
      </x:c>
      <x:c r="D121" s="43" t="str">
        <x:v>Structured scenario or expert-coded elicitation for Avoidance Motivation</x:v>
      </x:c>
      <x:c r="E121" s="43" t="str">
        <x:v>Expert elicitation</x:v>
      </x:c>
      <x:c r="F121" s="43" t="str">
        <x:v>Anchored ordinal or continuous judgment with documented rubric</x:v>
      </x:c>
      <x:c r="G121" s="43" t="str">
        <x:v>Moderate</x:v>
      </x:c>
      <x:c r="H121" s="43" t="str">
        <x:v>Motivation is action- and context-specific; stated goals and intentions can overpredict behavior when opportunity or control is weak. Expert inference should use multiple raters, explicit uncertainty, and evidence independent of the target outcome.</x:v>
      </x:c>
      <x:c r="I121" s="43" t="str">
        <x:v>SRC163; SRC124</x:v>
      </x:c>
    </x:row>
    <x:row r="122" ht="58" customHeight="1">
      <x:c r="A122" s="43" t="str">
        <x:v>OP-PSY-0118</x:v>
      </x:c>
      <x:c r="B122" s="43" t="str">
        <x:v>PSY-040</x:v>
      </x:c>
      <x:c r="C122" s="43" t="str">
        <x:v>Anticipated Regret</x:v>
      </x:c>
      <x:c r="D122" s="43" t="str">
        <x:v>Construct-specific assessment: Regret ratings</x:v>
      </x:c>
      <x:c r="E122" s="43" t="str">
        <x:v>Self-report / assessment</x:v>
      </x:c>
      <x:c r="F122" s="43" t="str">
        <x:v>Low–high anticipated regret for each option</x:v>
      </x:c>
      <x:c r="G122" s="43" t="str">
        <x:v>Moderate</x:v>
      </x:c>
      <x:c r="H122" s="43" t="str">
        <x:v>Motivation is action- and context-specific; stated goals and intentions can overpredict behavior when opportunity or control is weak. Use behavior-, target-, and time-specific wording and report reliability and invariance where relevant.</x:v>
      </x:c>
      <x:c r="I122" s="43" t="str">
        <x:v>SRC140; SRC141</x:v>
      </x:c>
    </x:row>
    <x:row r="123" ht="58" customHeight="1">
      <x:c r="A123" s="43" t="str">
        <x:v>OP-PSY-0119</x:v>
      </x:c>
      <x:c r="B123" s="43" t="str">
        <x:v>PSY-040</x:v>
      </x:c>
      <x:c r="C123" s="43" t="str">
        <x:v>Anticipated Regret</x:v>
      </x:c>
      <x:c r="D123" s="43" t="str">
        <x:v>Behavioral or scenario-based indicator: intention change</x:v>
      </x:c>
      <x:c r="E123" s="43" t="str">
        <x:v>Behavioral / clinical assessment</x:v>
      </x:c>
      <x:c r="F123" s="43" t="str">
        <x:v>Low–high anticipated regret for each option</x:v>
      </x:c>
      <x:c r="G123" s="43" t="str">
        <x:v>Moderate</x:v>
      </x:c>
      <x:c r="H123" s="43" t="str">
        <x:v>Motivation is action- and context-specific; stated goals and intentions can overpredict behavior when opportunity or control is weak. Behavioral manifestations are conditional and should be triangulated with construct-specific assessment.</x:v>
      </x:c>
      <x:c r="I123" s="43" t="str">
        <x:v>SRC140; SRC141</x:v>
      </x:c>
    </x:row>
    <x:row r="124" ht="58" customHeight="1">
      <x:c r="A124" s="43" t="str">
        <x:v>OP-PSY-0120</x:v>
      </x:c>
      <x:c r="B124" s="43" t="str">
        <x:v>PSY-040</x:v>
      </x:c>
      <x:c r="C124" s="43" t="str">
        <x:v>Anticipated Regret</x:v>
      </x:c>
      <x:c r="D124" s="43" t="str">
        <x:v>Structured scenario or expert-coded elicitation for Anticipated Regret</x:v>
      </x:c>
      <x:c r="E124" s="43" t="str">
        <x:v>Expert elicitation</x:v>
      </x:c>
      <x:c r="F124" s="43" t="str">
        <x:v>Anchored ordinal or continuous judgment with documented rubric</x:v>
      </x:c>
      <x:c r="G124" s="43" t="str">
        <x:v>Moderate</x:v>
      </x:c>
      <x:c r="H124" s="43" t="str">
        <x:v>Motivation is action- and context-specific; stated goals and intentions can overpredict behavior when opportunity or control is weak. Expert inference should use multiple raters, explicit uncertainty, and evidence independent of the target outcome.</x:v>
      </x:c>
      <x:c r="I124" s="43" t="str">
        <x:v>SRC140; SRC141</x:v>
      </x:c>
    </x:row>
    <x:row r="125" ht="58" customHeight="1">
      <x:c r="A125" s="43" t="str">
        <x:v>OP-PSY-0121</x:v>
      </x:c>
      <x:c r="B125" s="43" t="str">
        <x:v>PSY-041</x:v>
      </x:c>
      <x:c r="C125" s="43" t="str">
        <x:v>Fear Intensity</x:v>
      </x:c>
      <x:c r="D125" s="43" t="str">
        <x:v>Construct-specific assessment: Fear rating</x:v>
      </x:c>
      <x:c r="E125" s="43" t="str">
        <x:v>Self-report / assessment</x:v>
      </x:c>
      <x:c r="F125" s="43" t="str">
        <x:v>None–extreme fear; repeated state rating</x:v>
      </x:c>
      <x:c r="G125" s="43" t="str">
        <x:v>Moderate</x:v>
      </x:c>
      <x:c r="H125" s="43" t="str">
        <x:v>Emotion labels, intensity, and expression vary across people and cultures; self-report, behavior, and physiology need not converge. Use behavior-, target-, and time-specific wording and report reliability and invariance where relevant.</x:v>
      </x:c>
      <x:c r="I125" s="43" t="str">
        <x:v>SRC115; SRC175; SRC124</x:v>
      </x:c>
    </x:row>
    <x:row r="126" ht="58" customHeight="1">
      <x:c r="A126" s="43" t="str">
        <x:v>OP-PSY-0122</x:v>
      </x:c>
      <x:c r="B126" s="43" t="str">
        <x:v>PSY-041</x:v>
      </x:c>
      <x:c r="C126" s="43" t="str">
        <x:v>Fear Intensity</x:v>
      </x:c>
      <x:c r="D126" s="43" t="str">
        <x:v>Behavioral or scenario-based indicator: escape tendency</x:v>
      </x:c>
      <x:c r="E126" s="43" t="str">
        <x:v>Behavioral / clinical assessment</x:v>
      </x:c>
      <x:c r="F126" s="43" t="str">
        <x:v>None–extreme fear; repeated state rating</x:v>
      </x:c>
      <x:c r="G126" s="43" t="str">
        <x:v>Moderate</x:v>
      </x:c>
      <x:c r="H126" s="43" t="str">
        <x:v>Emotion labels, intensity, and expression vary across people and cultures; self-report, behavior, and physiology need not converge. Behavioral manifestations are conditional and should be triangulated with construct-specific assessment.</x:v>
      </x:c>
      <x:c r="I126" s="43" t="str">
        <x:v>SRC115; SRC175; SRC124</x:v>
      </x:c>
    </x:row>
    <x:row r="127" ht="58" customHeight="1">
      <x:c r="A127" s="43" t="str">
        <x:v>OP-PSY-0123</x:v>
      </x:c>
      <x:c r="B127" s="43" t="str">
        <x:v>PSY-041</x:v>
      </x:c>
      <x:c r="C127" s="43" t="str">
        <x:v>Fear Intensity</x:v>
      </x:c>
      <x:c r="D127" s="43" t="str">
        <x:v>Sensor- or timing-based triangulation: threat-focused attention</x:v>
      </x:c>
      <x:c r="E127" s="43" t="str">
        <x:v>Physiological / sensor</x:v>
      </x:c>
      <x:c r="F127" s="43" t="str">
        <x:v>Time-series, latency, gaze, expression, or physiology as appropriate</x:v>
      </x:c>
      <x:c r="G127" s="43" t="str">
        <x:v>Moderate</x:v>
      </x:c>
      <x:c r="H127" s="43" t="str">
        <x:v>Emotion labels, intensity, and expression vary across people and cultures; self-report, behavior, and physiology need not converge. Sensor or physiological signals are indicators and may dissociate from the psychological state.</x:v>
      </x:c>
      <x:c r="I127" s="43" t="str">
        <x:v>SRC115; SRC175; SRC124</x:v>
      </x:c>
    </x:row>
    <x:row r="128" ht="58" customHeight="1">
      <x:c r="A128" s="43" t="str">
        <x:v>OP-PSY-0124</x:v>
      </x:c>
      <x:c r="B128" s="43" t="str">
        <x:v>PSY-042</x:v>
      </x:c>
      <x:c r="C128" s="43" t="str">
        <x:v>Anxiety Intensity</x:v>
      </x:c>
      <x:c r="D128" s="43" t="str">
        <x:v>Construct-specific assessment: State-anxiety score</x:v>
      </x:c>
      <x:c r="E128" s="43" t="str">
        <x:v>Self-report / assessment</x:v>
      </x:c>
      <x:c r="F128" s="43" t="str">
        <x:v>None–extreme state anxiety; validated state scale</x:v>
      </x:c>
      <x:c r="G128" s="43" t="str">
        <x:v>Moderate</x:v>
      </x:c>
      <x:c r="H128" s="43" t="str">
        <x:v>Emotion labels, intensity, and expression vary across people and cultures; self-report, behavior, and physiology need not converge. Use behavior-, target-, and time-specific wording and report reliability and invariance where relevant.</x:v>
      </x:c>
      <x:c r="I128" s="43" t="str">
        <x:v>SRC147; SRC148; SRC115</x:v>
      </x:c>
    </x:row>
    <x:row r="129" ht="58" customHeight="1">
      <x:c r="A129" s="43" t="str">
        <x:v>OP-PSY-0125</x:v>
      </x:c>
      <x:c r="B129" s="43" t="str">
        <x:v>PSY-042</x:v>
      </x:c>
      <x:c r="C129" s="43" t="str">
        <x:v>Anxiety Intensity</x:v>
      </x:c>
      <x:c r="D129" s="43" t="str">
        <x:v>Behavioral or scenario-based indicator: worry</x:v>
      </x:c>
      <x:c r="E129" s="43" t="str">
        <x:v>Behavioral / clinical assessment</x:v>
      </x:c>
      <x:c r="F129" s="43" t="str">
        <x:v>None–extreme state anxiety; validated state scale</x:v>
      </x:c>
      <x:c r="G129" s="43" t="str">
        <x:v>Moderate</x:v>
      </x:c>
      <x:c r="H129" s="43" t="str">
        <x:v>Emotion labels, intensity, and expression vary across people and cultures; self-report, behavior, and physiology need not converge. Behavioral manifestations are conditional and should be triangulated with construct-specific assessment.</x:v>
      </x:c>
      <x:c r="I129" s="43" t="str">
        <x:v>SRC147; SRC148; SRC115</x:v>
      </x:c>
    </x:row>
    <x:row r="130" ht="58" customHeight="1">
      <x:c r="A130" s="43" t="str">
        <x:v>OP-PSY-0126</x:v>
      </x:c>
      <x:c r="B130" s="43" t="str">
        <x:v>PSY-042</x:v>
      </x:c>
      <x:c r="C130" s="43" t="str">
        <x:v>Anxiety Intensity</x:v>
      </x:c>
      <x:c r="D130" s="43" t="str">
        <x:v>Sensor- or timing-based triangulation: vigilance</x:v>
      </x:c>
      <x:c r="E130" s="43" t="str">
        <x:v>Physiological / sensor</x:v>
      </x:c>
      <x:c r="F130" s="43" t="str">
        <x:v>Time-series, latency, gaze, expression, or physiology as appropriate</x:v>
      </x:c>
      <x:c r="G130" s="43" t="str">
        <x:v>Moderate</x:v>
      </x:c>
      <x:c r="H130" s="43" t="str">
        <x:v>Emotion labels, intensity, and expression vary across people and cultures; self-report, behavior, and physiology need not converge. Sensor or physiological signals are indicators and may dissociate from the psychological state.</x:v>
      </x:c>
      <x:c r="I130" s="43" t="str">
        <x:v>SRC147; SRC148; SRC115</x:v>
      </x:c>
    </x:row>
    <x:row r="131" ht="58" customHeight="1">
      <x:c r="A131" s="43" t="str">
        <x:v>OP-PSY-0127</x:v>
      </x:c>
      <x:c r="B131" s="43" t="str">
        <x:v>PSY-043</x:v>
      </x:c>
      <x:c r="C131" s="43" t="str">
        <x:v>Anger Intensity</x:v>
      </x:c>
      <x:c r="D131" s="43" t="str">
        <x:v>Construct-specific assessment: Anger rating</x:v>
      </x:c>
      <x:c r="E131" s="43" t="str">
        <x:v>Self-report / assessment</x:v>
      </x:c>
      <x:c r="F131" s="43" t="str">
        <x:v>None–extreme anger; state-anger scale</x:v>
      </x:c>
      <x:c r="G131" s="43" t="str">
        <x:v>Moderate</x:v>
      </x:c>
      <x:c r="H131" s="43" t="str">
        <x:v>Emotion labels, intensity, and expression vary across people and cultures; self-report, behavior, and physiology need not converge. Use behavior-, target-, and time-specific wording and report reliability and invariance where relevant.</x:v>
      </x:c>
      <x:c r="I131" s="43" t="str">
        <x:v>SRC115; SRC176</x:v>
      </x:c>
    </x:row>
    <x:row r="132" ht="58" customHeight="1">
      <x:c r="A132" s="43" t="str">
        <x:v>OP-PSY-0128</x:v>
      </x:c>
      <x:c r="B132" s="43" t="str">
        <x:v>PSY-043</x:v>
      </x:c>
      <x:c r="C132" s="43" t="str">
        <x:v>Anger Intensity</x:v>
      </x:c>
      <x:c r="D132" s="43" t="str">
        <x:v>Behavioral or scenario-based indicator: confrontation tendency</x:v>
      </x:c>
      <x:c r="E132" s="43" t="str">
        <x:v>Behavioral / clinical assessment</x:v>
      </x:c>
      <x:c r="F132" s="43" t="str">
        <x:v>None–extreme anger; state-anger scale</x:v>
      </x:c>
      <x:c r="G132" s="43" t="str">
        <x:v>Moderate</x:v>
      </x:c>
      <x:c r="H132" s="43" t="str">
        <x:v>Emotion labels, intensity, and expression vary across people and cultures; self-report, behavior, and physiology need not converge. Behavioral manifestations are conditional and should be triangulated with construct-specific assessment.</x:v>
      </x:c>
      <x:c r="I132" s="43" t="str">
        <x:v>SRC115; SRC176</x:v>
      </x:c>
    </x:row>
    <x:row r="133" ht="58" customHeight="1">
      <x:c r="A133" s="43" t="str">
        <x:v>OP-PSY-0129</x:v>
      </x:c>
      <x:c r="B133" s="43" t="str">
        <x:v>PSY-043</x:v>
      </x:c>
      <x:c r="C133" s="43" t="str">
        <x:v>Anger Intensity</x:v>
      </x:c>
      <x:c r="D133" s="43" t="str">
        <x:v>Sensor- or timing-based triangulation: hostile attribution</x:v>
      </x:c>
      <x:c r="E133" s="43" t="str">
        <x:v>Physiological / sensor</x:v>
      </x:c>
      <x:c r="F133" s="43" t="str">
        <x:v>Time-series, latency, gaze, expression, or physiology as appropriate</x:v>
      </x:c>
      <x:c r="G133" s="43" t="str">
        <x:v>Moderate</x:v>
      </x:c>
      <x:c r="H133" s="43" t="str">
        <x:v>Emotion labels, intensity, and expression vary across people and cultures; self-report, behavior, and physiology need not converge. Sensor or physiological signals are indicators and may dissociate from the psychological state.</x:v>
      </x:c>
      <x:c r="I133" s="43" t="str">
        <x:v>SRC115; SRC176</x:v>
      </x:c>
    </x:row>
    <x:row r="134" ht="58" customHeight="1">
      <x:c r="A134" s="43" t="str">
        <x:v>OP-PSY-0130</x:v>
      </x:c>
      <x:c r="B134" s="43" t="str">
        <x:v>PSY-044</x:v>
      </x:c>
      <x:c r="C134" s="43" t="str">
        <x:v>Disgust Intensity</x:v>
      </x:c>
      <x:c r="D134" s="43" t="str">
        <x:v>Construct-specific assessment: Disgust rating</x:v>
      </x:c>
      <x:c r="E134" s="43" t="str">
        <x:v>Self-report / assessment</x:v>
      </x:c>
      <x:c r="F134" s="43" t="str">
        <x:v>None–extreme disgust; domain-specific rating</x:v>
      </x:c>
      <x:c r="G134" s="43" t="str">
        <x:v>Moderate</x:v>
      </x:c>
      <x:c r="H134" s="43" t="str">
        <x:v>Emotion labels, intensity, and expression vary across people and cultures; self-report, behavior, and physiology need not converge. Use behavior-, target-, and time-specific wording and report reliability and invariance where relevant.</x:v>
      </x:c>
      <x:c r="I134" s="43" t="str">
        <x:v>SRC115; SRC177</x:v>
      </x:c>
    </x:row>
    <x:row r="135" ht="58" customHeight="1">
      <x:c r="A135" s="43" t="str">
        <x:v>OP-PSY-0131</x:v>
      </x:c>
      <x:c r="B135" s="43" t="str">
        <x:v>PSY-044</x:v>
      </x:c>
      <x:c r="C135" s="43" t="str">
        <x:v>Disgust Intensity</x:v>
      </x:c>
      <x:c r="D135" s="43" t="str">
        <x:v>Behavioral or scenario-based indicator: avoidance distance</x:v>
      </x:c>
      <x:c r="E135" s="43" t="str">
        <x:v>Behavioral / clinical assessment</x:v>
      </x:c>
      <x:c r="F135" s="43" t="str">
        <x:v>None–extreme disgust; domain-specific rating</x:v>
      </x:c>
      <x:c r="G135" s="43" t="str">
        <x:v>Moderate</x:v>
      </x:c>
      <x:c r="H135" s="43" t="str">
        <x:v>Emotion labels, intensity, and expression vary across people and cultures; self-report, behavior, and physiology need not converge. Behavioral manifestations are conditional and should be triangulated with construct-specific assessment.</x:v>
      </x:c>
      <x:c r="I135" s="43" t="str">
        <x:v>SRC115; SRC177</x:v>
      </x:c>
    </x:row>
    <x:row r="136" ht="58" customHeight="1">
      <x:c r="A136" s="43" t="str">
        <x:v>OP-PSY-0132</x:v>
      </x:c>
      <x:c r="B136" s="43" t="str">
        <x:v>PSY-044</x:v>
      </x:c>
      <x:c r="C136" s="43" t="str">
        <x:v>Disgust Intensity</x:v>
      </x:c>
      <x:c r="D136" s="43" t="str">
        <x:v>Sensor- or timing-based triangulation: rejection judgments</x:v>
      </x:c>
      <x:c r="E136" s="43" t="str">
        <x:v>Physiological / sensor</x:v>
      </x:c>
      <x:c r="F136" s="43" t="str">
        <x:v>Time-series, latency, gaze, expression, or physiology as appropriate</x:v>
      </x:c>
      <x:c r="G136" s="43" t="str">
        <x:v>Moderate</x:v>
      </x:c>
      <x:c r="H136" s="43" t="str">
        <x:v>Emotion labels, intensity, and expression vary across people and cultures; self-report, behavior, and physiology need not converge. Sensor or physiological signals are indicators and may dissociate from the psychological state.</x:v>
      </x:c>
      <x:c r="I136" s="43" t="str">
        <x:v>SRC115; SRC177</x:v>
      </x:c>
    </x:row>
    <x:row r="137" ht="58" customHeight="1">
      <x:c r="A137" s="43" t="str">
        <x:v>OP-PSY-0133</x:v>
      </x:c>
      <x:c r="B137" s="43" t="str">
        <x:v>PSY-045</x:v>
      </x:c>
      <x:c r="C137" s="43" t="str">
        <x:v>Shame Intensity</x:v>
      </x:c>
      <x:c r="D137" s="43" t="str">
        <x:v>Construct-specific assessment: Shame rating</x:v>
      </x:c>
      <x:c r="E137" s="43" t="str">
        <x:v>Self-report / assessment</x:v>
      </x:c>
      <x:c r="F137" s="43" t="str">
        <x:v>None–extreme shame; event-specific rating</x:v>
      </x:c>
      <x:c r="G137" s="43" t="str">
        <x:v>Moderate</x:v>
      </x:c>
      <x:c r="H137" s="43" t="str">
        <x:v>Emotion labels, intensity, and expression vary across people and cultures; self-report, behavior, and physiology need not converge. Use behavior-, target-, and time-specific wording and report reliability and invariance where relevant.</x:v>
      </x:c>
      <x:c r="I137" s="43" t="str">
        <x:v>SRC178; SRC115</x:v>
      </x:c>
    </x:row>
    <x:row r="138" ht="58" customHeight="1">
      <x:c r="A138" s="43" t="str">
        <x:v>OP-PSY-0134</x:v>
      </x:c>
      <x:c r="B138" s="43" t="str">
        <x:v>PSY-045</x:v>
      </x:c>
      <x:c r="C138" s="43" t="str">
        <x:v>Shame Intensity</x:v>
      </x:c>
      <x:c r="D138" s="43" t="str">
        <x:v>Behavioral or scenario-based indicator: hiding</x:v>
      </x:c>
      <x:c r="E138" s="43" t="str">
        <x:v>Behavioral / clinical assessment</x:v>
      </x:c>
      <x:c r="F138" s="43" t="str">
        <x:v>None–extreme shame; event-specific rating</x:v>
      </x:c>
      <x:c r="G138" s="43" t="str">
        <x:v>Moderate</x:v>
      </x:c>
      <x:c r="H138" s="43" t="str">
        <x:v>Emotion labels, intensity, and expression vary across people and cultures; self-report, behavior, and physiology need not converge. Behavioral manifestations are conditional and should be triangulated with construct-specific assessment.</x:v>
      </x:c>
      <x:c r="I138" s="43" t="str">
        <x:v>SRC178; SRC115</x:v>
      </x:c>
    </x:row>
    <x:row r="139" ht="58" customHeight="1">
      <x:c r="A139" s="43" t="str">
        <x:v>OP-PSY-0135</x:v>
      </x:c>
      <x:c r="B139" s="43" t="str">
        <x:v>PSY-045</x:v>
      </x:c>
      <x:c r="C139" s="43" t="str">
        <x:v>Shame Intensity</x:v>
      </x:c>
      <x:c r="D139" s="43" t="str">
        <x:v>Sensor- or timing-based triangulation: withdrawal</x:v>
      </x:c>
      <x:c r="E139" s="43" t="str">
        <x:v>Physiological / sensor</x:v>
      </x:c>
      <x:c r="F139" s="43" t="str">
        <x:v>Time-series, latency, gaze, expression, or physiology as appropriate</x:v>
      </x:c>
      <x:c r="G139" s="43" t="str">
        <x:v>Moderate</x:v>
      </x:c>
      <x:c r="H139" s="43" t="str">
        <x:v>Emotion labels, intensity, and expression vary across people and cultures; self-report, behavior, and physiology need not converge. Sensor or physiological signals are indicators and may dissociate from the psychological state.</x:v>
      </x:c>
      <x:c r="I139" s="43" t="str">
        <x:v>SRC178; SRC115</x:v>
      </x:c>
    </x:row>
    <x:row r="140" ht="58" customHeight="1">
      <x:c r="A140" s="43" t="str">
        <x:v>OP-PSY-0136</x:v>
      </x:c>
      <x:c r="B140" s="43" t="str">
        <x:v>PSY-046</x:v>
      </x:c>
      <x:c r="C140" s="43" t="str">
        <x:v>Guilt Intensity</x:v>
      </x:c>
      <x:c r="D140" s="43" t="str">
        <x:v>Construct-specific assessment: Guilt rating</x:v>
      </x:c>
      <x:c r="E140" s="43" t="str">
        <x:v>Self-report / assessment</x:v>
      </x:c>
      <x:c r="F140" s="43" t="str">
        <x:v>None–extreme guilt; event-specific rating</x:v>
      </x:c>
      <x:c r="G140" s="43" t="str">
        <x:v>Moderate</x:v>
      </x:c>
      <x:c r="H140" s="43" t="str">
        <x:v>Emotion labels, intensity, and expression vary across people and cultures; self-report, behavior, and physiology need not converge. Use behavior-, target-, and time-specific wording and report reliability and invariance where relevant.</x:v>
      </x:c>
      <x:c r="I140" s="43" t="str">
        <x:v>SRC178; SRC115</x:v>
      </x:c>
    </x:row>
    <x:row r="141" ht="58" customHeight="1">
      <x:c r="A141" s="43" t="str">
        <x:v>OP-PSY-0137</x:v>
      </x:c>
      <x:c r="B141" s="43" t="str">
        <x:v>PSY-046</x:v>
      </x:c>
      <x:c r="C141" s="43" t="str">
        <x:v>Guilt Intensity</x:v>
      </x:c>
      <x:c r="D141" s="43" t="str">
        <x:v>Behavioral or scenario-based indicator: apology</x:v>
      </x:c>
      <x:c r="E141" s="43" t="str">
        <x:v>Behavioral / clinical assessment</x:v>
      </x:c>
      <x:c r="F141" s="43" t="str">
        <x:v>None–extreme guilt; event-specific rating</x:v>
      </x:c>
      <x:c r="G141" s="43" t="str">
        <x:v>Moderate</x:v>
      </x:c>
      <x:c r="H141" s="43" t="str">
        <x:v>Emotion labels, intensity, and expression vary across people and cultures; self-report, behavior, and physiology need not converge. Behavioral manifestations are conditional and should be triangulated with construct-specific assessment.</x:v>
      </x:c>
      <x:c r="I141" s="43" t="str">
        <x:v>SRC178; SRC115</x:v>
      </x:c>
    </x:row>
    <x:row r="142" ht="58" customHeight="1">
      <x:c r="A142" s="43" t="str">
        <x:v>OP-PSY-0138</x:v>
      </x:c>
      <x:c r="B142" s="43" t="str">
        <x:v>PSY-046</x:v>
      </x:c>
      <x:c r="C142" s="43" t="str">
        <x:v>Guilt Intensity</x:v>
      </x:c>
      <x:c r="D142" s="43" t="str">
        <x:v>Sensor- or timing-based triangulation: repair or restitution intent</x:v>
      </x:c>
      <x:c r="E142" s="43" t="str">
        <x:v>Physiological / sensor</x:v>
      </x:c>
      <x:c r="F142" s="43" t="str">
        <x:v>Time-series, latency, gaze, expression, or physiology as appropriate</x:v>
      </x:c>
      <x:c r="G142" s="43" t="str">
        <x:v>Moderate</x:v>
      </x:c>
      <x:c r="H142" s="43" t="str">
        <x:v>Emotion labels, intensity, and expression vary across people and cultures; self-report, behavior, and physiology need not converge. Sensor or physiological signals are indicators and may dissociate from the psychological state.</x:v>
      </x:c>
      <x:c r="I142" s="43" t="str">
        <x:v>SRC178; SRC115</x:v>
      </x:c>
    </x:row>
    <x:row r="143" ht="58" customHeight="1">
      <x:c r="A143" s="43" t="str">
        <x:v>OP-PSY-0139</x:v>
      </x:c>
      <x:c r="B143" s="43" t="str">
        <x:v>PSY-047</x:v>
      </x:c>
      <x:c r="C143" s="43" t="str">
        <x:v>Sadness Intensity</x:v>
      </x:c>
      <x:c r="D143" s="43" t="str">
        <x:v>Construct-specific assessment: Sadness rating</x:v>
      </x:c>
      <x:c r="E143" s="43" t="str">
        <x:v>Self-report / assessment</x:v>
      </x:c>
      <x:c r="F143" s="43" t="str">
        <x:v>None–extreme sadness; state rating</x:v>
      </x:c>
      <x:c r="G143" s="43" t="str">
        <x:v>Moderate</x:v>
      </x:c>
      <x:c r="H143" s="43" t="str">
        <x:v>Emotion labels, intensity, and expression vary across people and cultures; self-report, behavior, and physiology need not converge. Use behavior-, target-, and time-specific wording and report reliability and invariance where relevant.</x:v>
      </x:c>
      <x:c r="I143" s="43" t="str">
        <x:v>SRC115; SRC142</x:v>
      </x:c>
    </x:row>
    <x:row r="144" ht="58" customHeight="1">
      <x:c r="A144" s="43" t="str">
        <x:v>OP-PSY-0140</x:v>
      </x:c>
      <x:c r="B144" s="43" t="str">
        <x:v>PSY-047</x:v>
      </x:c>
      <x:c r="C144" s="43" t="str">
        <x:v>Sadness Intensity</x:v>
      </x:c>
      <x:c r="D144" s="43" t="str">
        <x:v>Behavioral or scenario-based indicator: reduced approach</x:v>
      </x:c>
      <x:c r="E144" s="43" t="str">
        <x:v>Behavioral / clinical assessment</x:v>
      </x:c>
      <x:c r="F144" s="43" t="str">
        <x:v>None–extreme sadness; state rating</x:v>
      </x:c>
      <x:c r="G144" s="43" t="str">
        <x:v>Moderate</x:v>
      </x:c>
      <x:c r="H144" s="43" t="str">
        <x:v>Emotion labels, intensity, and expression vary across people and cultures; self-report, behavior, and physiology need not converge. Behavioral manifestations are conditional and should be triangulated with construct-specific assessment.</x:v>
      </x:c>
      <x:c r="I144" s="43" t="str">
        <x:v>SRC115; SRC142</x:v>
      </x:c>
    </x:row>
    <x:row r="145" ht="58" customHeight="1">
      <x:c r="A145" s="43" t="str">
        <x:v>OP-PSY-0141</x:v>
      </x:c>
      <x:c r="B145" s="43" t="str">
        <x:v>PSY-047</x:v>
      </x:c>
      <x:c r="C145" s="43" t="str">
        <x:v>Sadness Intensity</x:v>
      </x:c>
      <x:c r="D145" s="43" t="str">
        <x:v>Sensor- or timing-based triangulation: support seeking</x:v>
      </x:c>
      <x:c r="E145" s="43" t="str">
        <x:v>Physiological / sensor</x:v>
      </x:c>
      <x:c r="F145" s="43" t="str">
        <x:v>Time-series, latency, gaze, expression, or physiology as appropriate</x:v>
      </x:c>
      <x:c r="G145" s="43" t="str">
        <x:v>Moderate</x:v>
      </x:c>
      <x:c r="H145" s="43" t="str">
        <x:v>Emotion labels, intensity, and expression vary across people and cultures; self-report, behavior, and physiology need not converge. Sensor or physiological signals are indicators and may dissociate from the psychological state.</x:v>
      </x:c>
      <x:c r="I145" s="43" t="str">
        <x:v>SRC115; SRC142</x:v>
      </x:c>
    </x:row>
    <x:row r="146" ht="58" customHeight="1">
      <x:c r="A146" s="43" t="str">
        <x:v>OP-PSY-0142</x:v>
      </x:c>
      <x:c r="B146" s="43" t="str">
        <x:v>PSY-048</x:v>
      </x:c>
      <x:c r="C146" s="43" t="str">
        <x:v>Hope Intensity</x:v>
      </x:c>
      <x:c r="D146" s="43" t="str">
        <x:v>Construct-specific assessment: Hope rating</x:v>
      </x:c>
      <x:c r="E146" s="43" t="str">
        <x:v>Self-report / assessment</x:v>
      </x:c>
      <x:c r="F146" s="43" t="str">
        <x:v>None–extreme hope; state rating</x:v>
      </x:c>
      <x:c r="G146" s="43" t="str">
        <x:v>Moderate</x:v>
      </x:c>
      <x:c r="H146" s="43" t="str">
        <x:v>Emotion labels, intensity, and expression vary across people and cultures; self-report, behavior, and physiology need not converge. Use behavior-, target-, and time-specific wording and report reliability and invariance where relevant.</x:v>
      </x:c>
      <x:c r="I146" s="43" t="str">
        <x:v>SRC179; SRC118</x:v>
      </x:c>
    </x:row>
    <x:row r="147" ht="58" customHeight="1">
      <x:c r="A147" s="43" t="str">
        <x:v>OP-PSY-0143</x:v>
      </x:c>
      <x:c r="B147" s="43" t="str">
        <x:v>PSY-048</x:v>
      </x:c>
      <x:c r="C147" s="43" t="str">
        <x:v>Hope Intensity</x:v>
      </x:c>
      <x:c r="D147" s="43" t="str">
        <x:v>Behavioral or scenario-based indicator: continued effort</x:v>
      </x:c>
      <x:c r="E147" s="43" t="str">
        <x:v>Behavioral / clinical assessment</x:v>
      </x:c>
      <x:c r="F147" s="43" t="str">
        <x:v>None–extreme hope; state rating</x:v>
      </x:c>
      <x:c r="G147" s="43" t="str">
        <x:v>Moderate</x:v>
      </x:c>
      <x:c r="H147" s="43" t="str">
        <x:v>Emotion labels, intensity, and expression vary across people and cultures; self-report, behavior, and physiology need not converge. Behavioral manifestations are conditional and should be triangulated with construct-specific assessment.</x:v>
      </x:c>
      <x:c r="I147" s="43" t="str">
        <x:v>SRC179; SRC118</x:v>
      </x:c>
    </x:row>
    <x:row r="148" ht="58" customHeight="1">
      <x:c r="A148" s="43" t="str">
        <x:v>OP-PSY-0144</x:v>
      </x:c>
      <x:c r="B148" s="43" t="str">
        <x:v>PSY-048</x:v>
      </x:c>
      <x:c r="C148" s="43" t="str">
        <x:v>Hope Intensity</x:v>
      </x:c>
      <x:c r="D148" s="43" t="str">
        <x:v>Sensor- or timing-based triangulation: pathway generation</x:v>
      </x:c>
      <x:c r="E148" s="43" t="str">
        <x:v>Physiological / sensor</x:v>
      </x:c>
      <x:c r="F148" s="43" t="str">
        <x:v>Time-series, latency, gaze, expression, or physiology as appropriate</x:v>
      </x:c>
      <x:c r="G148" s="43" t="str">
        <x:v>Moderate</x:v>
      </x:c>
      <x:c r="H148" s="43" t="str">
        <x:v>Emotion labels, intensity, and expression vary across people and cultures; self-report, behavior, and physiology need not converge. Sensor or physiological signals are indicators and may dissociate from the psychological state.</x:v>
      </x:c>
      <x:c r="I148" s="43" t="str">
        <x:v>SRC179; SRC118</x:v>
      </x:c>
    </x:row>
    <x:row r="149" ht="58" customHeight="1">
      <x:c r="A149" s="43" t="str">
        <x:v>OP-PSY-0145</x:v>
      </x:c>
      <x:c r="B149" s="43" t="str">
        <x:v>PSY-049</x:v>
      </x:c>
      <x:c r="C149" s="43" t="str">
        <x:v>Pride Intensity</x:v>
      </x:c>
      <x:c r="D149" s="43" t="str">
        <x:v>Construct-specific assessment: Pride rating</x:v>
      </x:c>
      <x:c r="E149" s="43" t="str">
        <x:v>Self-report / assessment</x:v>
      </x:c>
      <x:c r="F149" s="43" t="str">
        <x:v>None–extreme pride; authentic/hubristic subscales where needed</x:v>
      </x:c>
      <x:c r="G149" s="43" t="str">
        <x:v>Moderate</x:v>
      </x:c>
      <x:c r="H149" s="43" t="str">
        <x:v>Emotion labels, intensity, and expression vary across people and cultures; self-report, behavior, and physiology need not converge. Use behavior-, target-, and time-specific wording and report reliability and invariance where relevant.</x:v>
      </x:c>
      <x:c r="I149" s="43" t="str">
        <x:v>SRC180; SRC115</x:v>
      </x:c>
    </x:row>
    <x:row r="150" ht="58" customHeight="1">
      <x:c r="A150" s="43" t="str">
        <x:v>OP-PSY-0146</x:v>
      </x:c>
      <x:c r="B150" s="43" t="str">
        <x:v>PSY-049</x:v>
      </x:c>
      <x:c r="C150" s="43" t="str">
        <x:v>Pride Intensity</x:v>
      </x:c>
      <x:c r="D150" s="43" t="str">
        <x:v>Behavioral or scenario-based indicator: posture or display</x:v>
      </x:c>
      <x:c r="E150" s="43" t="str">
        <x:v>Behavioral / clinical assessment</x:v>
      </x:c>
      <x:c r="F150" s="43" t="str">
        <x:v>None–extreme pride; authentic/hubristic subscales where needed</x:v>
      </x:c>
      <x:c r="G150" s="43" t="str">
        <x:v>Moderate</x:v>
      </x:c>
      <x:c r="H150" s="43" t="str">
        <x:v>Emotion labels, intensity, and expression vary across people and cultures; self-report, behavior, and physiology need not converge. Behavioral manifestations are conditional and should be triangulated with construct-specific assessment.</x:v>
      </x:c>
      <x:c r="I150" s="43" t="str">
        <x:v>SRC180; SRC115</x:v>
      </x:c>
    </x:row>
    <x:row r="151" ht="58" customHeight="1">
      <x:c r="A151" s="43" t="str">
        <x:v>OP-PSY-0147</x:v>
      </x:c>
      <x:c r="B151" s="43" t="str">
        <x:v>PSY-049</x:v>
      </x:c>
      <x:c r="C151" s="43" t="str">
        <x:v>Pride Intensity</x:v>
      </x:c>
      <x:c r="D151" s="43" t="str">
        <x:v>Sensor- or timing-based triangulation: achievement persistence</x:v>
      </x:c>
      <x:c r="E151" s="43" t="str">
        <x:v>Physiological / sensor</x:v>
      </x:c>
      <x:c r="F151" s="43" t="str">
        <x:v>Time-series, latency, gaze, expression, or physiology as appropriate</x:v>
      </x:c>
      <x:c r="G151" s="43" t="str">
        <x:v>Moderate</x:v>
      </x:c>
      <x:c r="H151" s="43" t="str">
        <x:v>Emotion labels, intensity, and expression vary across people and cultures; self-report, behavior, and physiology need not converge. Sensor or physiological signals are indicators and may dissociate from the psychological state.</x:v>
      </x:c>
      <x:c r="I151" s="43" t="str">
        <x:v>SRC180; SRC115</x:v>
      </x:c>
    </x:row>
    <x:row r="152" ht="58" customHeight="1">
      <x:c r="A152" s="43" t="str">
        <x:v>OP-PSY-0148</x:v>
      </x:c>
      <x:c r="B152" s="43" t="str">
        <x:v>PSY-050</x:v>
      </x:c>
      <x:c r="C152" s="43" t="str">
        <x:v>Mood Valence</x:v>
      </x:c>
      <x:c r="D152" s="43" t="str">
        <x:v>Construct-specific assessment: Valence rating</x:v>
      </x:c>
      <x:c r="E152" s="43" t="str">
        <x:v>Self-report / assessment</x:v>
      </x:c>
      <x:c r="F152" s="43" t="str">
        <x:v>Negative–neutral–positive; repeated mood rating</x:v>
      </x:c>
      <x:c r="G152" s="43" t="str">
        <x:v>Moderate</x:v>
      </x:c>
      <x:c r="H152" s="43" t="str">
        <x:v>Emotion labels, intensity, and expression vary across people and cultures; self-report, behavior, and physiology need not converge. Use behavior-, target-, and time-specific wording and report reliability and invariance where relevant.</x:v>
      </x:c>
      <x:c r="I152" s="43" t="str">
        <x:v>SRC142; SRC115</x:v>
      </x:c>
    </x:row>
    <x:row r="153" ht="58" customHeight="1">
      <x:c r="A153" s="43" t="str">
        <x:v>OP-PSY-0149</x:v>
      </x:c>
      <x:c r="B153" s="43" t="str">
        <x:v>PSY-050</x:v>
      </x:c>
      <x:c r="C153" s="43" t="str">
        <x:v>Mood Valence</x:v>
      </x:c>
      <x:c r="D153" s="43" t="str">
        <x:v>Behavioral or scenario-based indicator: positive/negative affect profile</x:v>
      </x:c>
      <x:c r="E153" s="43" t="str">
        <x:v>Behavioral / clinical assessment</x:v>
      </x:c>
      <x:c r="F153" s="43" t="str">
        <x:v>Negative–neutral–positive; repeated mood rating</x:v>
      </x:c>
      <x:c r="G153" s="43" t="str">
        <x:v>Moderate</x:v>
      </x:c>
      <x:c r="H153" s="43" t="str">
        <x:v>Emotion labels, intensity, and expression vary across people and cultures; self-report, behavior, and physiology need not converge. Behavioral manifestations are conditional and should be triangulated with construct-specific assessment.</x:v>
      </x:c>
      <x:c r="I153" s="43" t="str">
        <x:v>SRC142; SRC115</x:v>
      </x:c>
    </x:row>
    <x:row r="154" ht="58" customHeight="1">
      <x:c r="A154" s="43" t="str">
        <x:v>OP-PSY-0150</x:v>
      </x:c>
      <x:c r="B154" s="43" t="str">
        <x:v>PSY-050</x:v>
      </x:c>
      <x:c r="C154" s="43" t="str">
        <x:v>Mood Valence</x:v>
      </x:c>
      <x:c r="D154" s="43" t="str">
        <x:v>Sensor- or timing-based triangulation: affect-congruent recall</x:v>
      </x:c>
      <x:c r="E154" s="43" t="str">
        <x:v>Physiological / sensor</x:v>
      </x:c>
      <x:c r="F154" s="43" t="str">
        <x:v>Time-series, latency, gaze, expression, or physiology as appropriate</x:v>
      </x:c>
      <x:c r="G154" s="43" t="str">
        <x:v>Moderate</x:v>
      </x:c>
      <x:c r="H154" s="43" t="str">
        <x:v>Emotion labels, intensity, and expression vary across people and cultures; self-report, behavior, and physiology need not converge. Sensor or physiological signals are indicators and may dissociate from the psychological state.</x:v>
      </x:c>
      <x:c r="I154" s="43" t="str">
        <x:v>SRC142; SRC115</x:v>
      </x:c>
    </x:row>
    <x:row r="155" ht="58" customHeight="1">
      <x:c r="A155" s="43" t="str">
        <x:v>OP-PSY-0151</x:v>
      </x:c>
      <x:c r="B155" s="43" t="str">
        <x:v>PSY-051</x:v>
      </x:c>
      <x:c r="C155" s="43" t="str">
        <x:v>Subjective Arousal</x:v>
      </x:c>
      <x:c r="D155" s="43" t="str">
        <x:v>Construct-specific assessment: Arousal rating</x:v>
      </x:c>
      <x:c r="E155" s="43" t="str">
        <x:v>Self-report / assessment</x:v>
      </x:c>
      <x:c r="F155" s="43" t="str">
        <x:v>Calm/low activation–high activation; arousal scale</x:v>
      </x:c>
      <x:c r="G155" s="43" t="str">
        <x:v>Moderate</x:v>
      </x:c>
      <x:c r="H155" s="43" t="str">
        <x:v>Emotion labels, intensity, and expression vary across people and cultures; self-report, behavior, and physiology need not converge. Use behavior-, target-, and time-specific wording and report reliability and invariance where relevant.</x:v>
      </x:c>
      <x:c r="I155" s="43" t="str">
        <x:v>SRC142; SRC115</x:v>
      </x:c>
    </x:row>
    <x:row r="156" ht="58" customHeight="1">
      <x:c r="A156" s="43" t="str">
        <x:v>OP-PSY-0152</x:v>
      </x:c>
      <x:c r="B156" s="43" t="str">
        <x:v>PSY-051</x:v>
      </x:c>
      <x:c r="C156" s="43" t="str">
        <x:v>Subjective Arousal</x:v>
      </x:c>
      <x:c r="D156" s="43" t="str">
        <x:v>Behavioral or scenario-based indicator: activation language</x:v>
      </x:c>
      <x:c r="E156" s="43" t="str">
        <x:v>Behavioral / clinical assessment</x:v>
      </x:c>
      <x:c r="F156" s="43" t="str">
        <x:v>Calm/low activation–high activation; arousal scale</x:v>
      </x:c>
      <x:c r="G156" s="43" t="str">
        <x:v>Moderate</x:v>
      </x:c>
      <x:c r="H156" s="43" t="str">
        <x:v>Emotion labels, intensity, and expression vary across people and cultures; self-report, behavior, and physiology need not converge. Behavioral manifestations are conditional and should be triangulated with construct-specific assessment.</x:v>
      </x:c>
      <x:c r="I156" s="43" t="str">
        <x:v>SRC142; SRC115</x:v>
      </x:c>
    </x:row>
    <x:row r="157" ht="58" customHeight="1">
      <x:c r="A157" s="43" t="str">
        <x:v>OP-PSY-0153</x:v>
      </x:c>
      <x:c r="B157" s="43" t="str">
        <x:v>PSY-051</x:v>
      </x:c>
      <x:c r="C157" s="43" t="str">
        <x:v>Subjective Arousal</x:v>
      </x:c>
      <x:c r="D157" s="43" t="str">
        <x:v>Sensor- or timing-based triangulation: response vigor</x:v>
      </x:c>
      <x:c r="E157" s="43" t="str">
        <x:v>Physiological / sensor</x:v>
      </x:c>
      <x:c r="F157" s="43" t="str">
        <x:v>Time-series, latency, gaze, expression, or physiology as appropriate</x:v>
      </x:c>
      <x:c r="G157" s="43" t="str">
        <x:v>Moderate</x:v>
      </x:c>
      <x:c r="H157" s="43" t="str">
        <x:v>Emotion labels, intensity, and expression vary across people and cultures; self-report, behavior, and physiology need not converge. Sensor or physiological signals are indicators and may dissociate from the psychological state.</x:v>
      </x:c>
      <x:c r="I157" s="43" t="str">
        <x:v>SRC142; SRC115</x:v>
      </x:c>
    </x:row>
    <x:row r="158" ht="58" customHeight="1">
      <x:c r="A158" s="43" t="str">
        <x:v>OP-PSY-0154</x:v>
      </x:c>
      <x:c r="B158" s="43" t="str">
        <x:v>PSY-052</x:v>
      </x:c>
      <x:c r="C158" s="43" t="str">
        <x:v>Frustration Intensity</x:v>
      </x:c>
      <x:c r="D158" s="43" t="str">
        <x:v>Construct-specific assessment: Frustration rating</x:v>
      </x:c>
      <x:c r="E158" s="43" t="str">
        <x:v>Self-report / assessment</x:v>
      </x:c>
      <x:c r="F158" s="43" t="str">
        <x:v>None–extreme frustration; event-specific scale</x:v>
      </x:c>
      <x:c r="G158" s="43" t="str">
        <x:v>Moderate</x:v>
      </x:c>
      <x:c r="H158" s="43" t="str">
        <x:v>Emotion labels, intensity, and expression vary across people and cultures; self-report, behavior, and physiology need not converge. Use behavior-, target-, and time-specific wording and report reliability and invariance where relevant.</x:v>
      </x:c>
      <x:c r="I158" s="43" t="str">
        <x:v>SRC181; SRC118</x:v>
      </x:c>
    </x:row>
    <x:row r="159" ht="58" customHeight="1">
      <x:c r="A159" s="43" t="str">
        <x:v>OP-PSY-0155</x:v>
      </x:c>
      <x:c r="B159" s="43" t="str">
        <x:v>PSY-052</x:v>
      </x:c>
      <x:c r="C159" s="43" t="str">
        <x:v>Frustration Intensity</x:v>
      </x:c>
      <x:c r="D159" s="43" t="str">
        <x:v>Behavioral or scenario-based indicator: error escalation</x:v>
      </x:c>
      <x:c r="E159" s="43" t="str">
        <x:v>Behavioral / clinical assessment</x:v>
      </x:c>
      <x:c r="F159" s="43" t="str">
        <x:v>None–extreme frustration; event-specific scale</x:v>
      </x:c>
      <x:c r="G159" s="43" t="str">
        <x:v>Moderate</x:v>
      </x:c>
      <x:c r="H159" s="43" t="str">
        <x:v>Emotion labels, intensity, and expression vary across people and cultures; self-report, behavior, and physiology need not converge. Behavioral manifestations are conditional and should be triangulated with construct-specific assessment.</x:v>
      </x:c>
      <x:c r="I159" s="43" t="str">
        <x:v>SRC181; SRC118</x:v>
      </x:c>
    </x:row>
    <x:row r="160" ht="58" customHeight="1">
      <x:c r="A160" s="43" t="str">
        <x:v>OP-PSY-0156</x:v>
      </x:c>
      <x:c r="B160" s="43" t="str">
        <x:v>PSY-052</x:v>
      </x:c>
      <x:c r="C160" s="43" t="str">
        <x:v>Frustration Intensity</x:v>
      </x:c>
      <x:c r="D160" s="43" t="str">
        <x:v>Sensor- or timing-based triangulation: switching or quitting</x:v>
      </x:c>
      <x:c r="E160" s="43" t="str">
        <x:v>Physiological / sensor</x:v>
      </x:c>
      <x:c r="F160" s="43" t="str">
        <x:v>Time-series, latency, gaze, expression, or physiology as appropriate</x:v>
      </x:c>
      <x:c r="G160" s="43" t="str">
        <x:v>Moderate</x:v>
      </x:c>
      <x:c r="H160" s="43" t="str">
        <x:v>Emotion labels, intensity, and expression vary across people and cultures; self-report, behavior, and physiology need not converge. Sensor or physiological signals are indicators and may dissociate from the psychological state.</x:v>
      </x:c>
      <x:c r="I160" s="43" t="str">
        <x:v>SRC181; SRC118</x:v>
      </x:c>
    </x:row>
    <x:row r="161" ht="58" customHeight="1">
      <x:c r="A161" s="43" t="str">
        <x:v>OP-PSY-0157</x:v>
      </x:c>
      <x:c r="B161" s="43" t="str">
        <x:v>PSY-053</x:v>
      </x:c>
      <x:c r="C161" s="43" t="str">
        <x:v>Empathic Concern</x:v>
      </x:c>
      <x:c r="D161" s="43" t="str">
        <x:v>Construct-specific assessment: Concern rating</x:v>
      </x:c>
      <x:c r="E161" s="43" t="str">
        <x:v>Self-report / assessment</x:v>
      </x:c>
      <x:c r="F161" s="43" t="str">
        <x:v>Low–high state concern; target-specific rating</x:v>
      </x:c>
      <x:c r="G161" s="43" t="str">
        <x:v>Moderate</x:v>
      </x:c>
      <x:c r="H161" s="43" t="str">
        <x:v>Emotion labels, intensity, and expression vary across people and cultures; self-report, behavior, and physiology need not converge. Use behavior-, target-, and time-specific wording and report reliability and invariance where relevant.</x:v>
      </x:c>
      <x:c r="I161" s="43" t="str">
        <x:v>SRC145; SRC182</x:v>
      </x:c>
    </x:row>
    <x:row r="162" ht="58" customHeight="1">
      <x:c r="A162" s="43" t="str">
        <x:v>OP-PSY-0158</x:v>
      </x:c>
      <x:c r="B162" s="43" t="str">
        <x:v>PSY-053</x:v>
      </x:c>
      <x:c r="C162" s="43" t="str">
        <x:v>Empathic Concern</x:v>
      </x:c>
      <x:c r="D162" s="43" t="str">
        <x:v>Behavioral or scenario-based indicator: helping allocation</x:v>
      </x:c>
      <x:c r="E162" s="43" t="str">
        <x:v>Behavioral / clinical assessment</x:v>
      </x:c>
      <x:c r="F162" s="43" t="str">
        <x:v>Low–high state concern; target-specific rating</x:v>
      </x:c>
      <x:c r="G162" s="43" t="str">
        <x:v>Moderate</x:v>
      </x:c>
      <x:c r="H162" s="43" t="str">
        <x:v>Emotion labels, intensity, and expression vary across people and cultures; self-report, behavior, and physiology need not converge. Behavioral manifestations are conditional and should be triangulated with construct-specific assessment.</x:v>
      </x:c>
      <x:c r="I162" s="43" t="str">
        <x:v>SRC145; SRC182</x:v>
      </x:c>
    </x:row>
    <x:row r="163" ht="58" customHeight="1">
      <x:c r="A163" s="43" t="str">
        <x:v>OP-PSY-0159</x:v>
      </x:c>
      <x:c r="B163" s="43" t="str">
        <x:v>PSY-053</x:v>
      </x:c>
      <x:c r="C163" s="43" t="str">
        <x:v>Empathic Concern</x:v>
      </x:c>
      <x:c r="D163" s="43" t="str">
        <x:v>Sensor- or timing-based triangulation: attention to need</x:v>
      </x:c>
      <x:c r="E163" s="43" t="str">
        <x:v>Physiological / sensor</x:v>
      </x:c>
      <x:c r="F163" s="43" t="str">
        <x:v>Time-series, latency, gaze, expression, or physiology as appropriate</x:v>
      </x:c>
      <x:c r="G163" s="43" t="str">
        <x:v>Moderate</x:v>
      </x:c>
      <x:c r="H163" s="43" t="str">
        <x:v>Emotion labels, intensity, and expression vary across people and cultures; self-report, behavior, and physiology need not converge. Sensor or physiological signals are indicators and may dissociate from the psychological state.</x:v>
      </x:c>
      <x:c r="I163" s="43" t="str">
        <x:v>SRC145; SRC182</x:v>
      </x:c>
    </x:row>
    <x:row r="164" ht="58" customHeight="1">
      <x:c r="A164" s="43" t="str">
        <x:v>OP-PSY-0160</x:v>
      </x:c>
      <x:c r="B164" s="43" t="str">
        <x:v>PSY-054</x:v>
      </x:c>
      <x:c r="C164" s="43" t="str">
        <x:v>Perceived Stress</x:v>
      </x:c>
      <x:c r="D164" s="43" t="str">
        <x:v>Construct-specific assessment: Stress rating</x:v>
      </x:c>
      <x:c r="E164" s="43" t="str">
        <x:v>Self-report / assessment</x:v>
      </x:c>
      <x:c r="F164" s="43" t="str">
        <x:v>Low–high perceived stress; repeated state scale</x:v>
      </x:c>
      <x:c r="G164" s="43" t="str">
        <x:v>Moderate</x:v>
      </x:c>
      <x:c r="H164" s="43" t="str">
        <x:v>Emotion labels, intensity, and expression vary across people and cultures; self-report, behavior, and physiology need not converge. Use behavior-, target-, and time-specific wording and report reliability and invariance where relevant.</x:v>
      </x:c>
      <x:c r="I164" s="43" t="str">
        <x:v>SRC146; SRC121</x:v>
      </x:c>
    </x:row>
    <x:row r="165" ht="58" customHeight="1">
      <x:c r="A165" s="43" t="str">
        <x:v>OP-PSY-0161</x:v>
      </x:c>
      <x:c r="B165" s="43" t="str">
        <x:v>PSY-054</x:v>
      </x:c>
      <x:c r="C165" s="43" t="str">
        <x:v>Perceived Stress</x:v>
      </x:c>
      <x:c r="D165" s="43" t="str">
        <x:v>Behavioral or scenario-based indicator: overload report</x:v>
      </x:c>
      <x:c r="E165" s="43" t="str">
        <x:v>Behavioral / clinical assessment</x:v>
      </x:c>
      <x:c r="F165" s="43" t="str">
        <x:v>Low–high perceived stress; repeated state scale</x:v>
      </x:c>
      <x:c r="G165" s="43" t="str">
        <x:v>Moderate</x:v>
      </x:c>
      <x:c r="H165" s="43" t="str">
        <x:v>Emotion labels, intensity, and expression vary across people and cultures; self-report, behavior, and physiology need not converge. Behavioral manifestations are conditional and should be triangulated with construct-specific assessment.</x:v>
      </x:c>
      <x:c r="I165" s="43" t="str">
        <x:v>SRC146; SRC121</x:v>
      </x:c>
    </x:row>
    <x:row r="166" ht="58" customHeight="1">
      <x:c r="A166" s="43" t="str">
        <x:v>OP-PSY-0162</x:v>
      </x:c>
      <x:c r="B166" s="43" t="str">
        <x:v>PSY-054</x:v>
      </x:c>
      <x:c r="C166" s="43" t="str">
        <x:v>Perceived Stress</x:v>
      </x:c>
      <x:c r="D166" s="43" t="str">
        <x:v>Sensor- or timing-based triangulation: coping change</x:v>
      </x:c>
      <x:c r="E166" s="43" t="str">
        <x:v>Physiological / sensor</x:v>
      </x:c>
      <x:c r="F166" s="43" t="str">
        <x:v>Time-series, latency, gaze, expression, or physiology as appropriate</x:v>
      </x:c>
      <x:c r="G166" s="43" t="str">
        <x:v>Moderate</x:v>
      </x:c>
      <x:c r="H166" s="43" t="str">
        <x:v>Emotion labels, intensity, and expression vary across people and cultures; self-report, behavior, and physiology need not converge. Sensor or physiological signals are indicators and may dissociate from the psychological state.</x:v>
      </x:c>
      <x:c r="I166" s="43" t="str">
        <x:v>SRC146; SRC121</x:v>
      </x:c>
    </x:row>
    <x:row r="167" ht="58" customHeight="1">
      <x:c r="A167" s="43" t="str">
        <x:v>OP-PSY-0163</x:v>
      </x:c>
      <x:c r="B167" s="43" t="str">
        <x:v>PSY-055</x:v>
      </x:c>
      <x:c r="C167" s="43" t="str">
        <x:v>Selective Attention Allocation</x:v>
      </x:c>
      <x:c r="D167" s="43" t="str">
        <x:v>Construct-specific assessment: Dwell time</x:v>
      </x:c>
      <x:c r="E167" s="43" t="str">
        <x:v>Self-report / assessment</x:v>
      </x:c>
      <x:c r="F167" s="43" t="str">
        <x:v>0–1 share of attention; dwell time proportion; probe-based bias</x:v>
      </x:c>
      <x:c r="G167" s="43" t="str">
        <x:v>Moderate</x:v>
      </x:c>
      <x:c r="H167" s="43" t="str">
        <x:v>Task measures often have low cross-task reliability and can reflect strategy, motivation, speed-accuracy tradeoffs, or sensory limits. Use behavior-, target-, and time-specific wording and report reliability and invariance where relevant.</x:v>
      </x:c>
      <x:c r="I167" s="43" t="str">
        <x:v>SRC148; SRC109</x:v>
      </x:c>
    </x:row>
    <x:row r="168" ht="58" customHeight="1">
      <x:c r="A168" s="43" t="str">
        <x:v>OP-PSY-0164</x:v>
      </x:c>
      <x:c r="B168" s="43" t="str">
        <x:v>PSY-055</x:v>
      </x:c>
      <x:c r="C168" s="43" t="str">
        <x:v>Selective Attention Allocation</x:v>
      </x:c>
      <x:c r="D168" s="43" t="str">
        <x:v>Standardized task or scenario indicator: probe performance</x:v>
      </x:c>
      <x:c r="E168" s="43" t="str">
        <x:v>Behavioral / clinical assessment</x:v>
      </x:c>
      <x:c r="F168" s="43" t="str">
        <x:v>0–1 share of attention; dwell time proportion; probe-based bias</x:v>
      </x:c>
      <x:c r="G168" s="43" t="str">
        <x:v>Moderate</x:v>
      </x:c>
      <x:c r="H168" s="43" t="str">
        <x:v>Task measures often have low cross-task reliability and can reflect strategy, motivation, speed-accuracy tradeoffs, or sensory limits. Task performance is an indicator and should not be treated as a pure one-to-one measure.</x:v>
      </x:c>
      <x:c r="I168" s="43" t="str">
        <x:v>SRC148; SRC109</x:v>
      </x:c>
    </x:row>
    <x:row r="169" ht="58" customHeight="1">
      <x:c r="A169" s="43" t="str">
        <x:v>OP-PSY-0165</x:v>
      </x:c>
      <x:c r="B169" s="43" t="str">
        <x:v>PSY-055</x:v>
      </x:c>
      <x:c r="C169" s="43" t="str">
        <x:v>Selective Attention Allocation</x:v>
      </x:c>
      <x:c r="D169" s="43" t="str">
        <x:v>Sensor- or timing-based triangulation: recall</x:v>
      </x:c>
      <x:c r="E169" s="43" t="str">
        <x:v>Physiological / sensor</x:v>
      </x:c>
      <x:c r="F169" s="43" t="str">
        <x:v>Time-series, latency, gaze, expression, or physiology as appropriate</x:v>
      </x:c>
      <x:c r="G169" s="43" t="str">
        <x:v>Moderate</x:v>
      </x:c>
      <x:c r="H169" s="43" t="str">
        <x:v>Task measures often have low cross-task reliability and can reflect strategy, motivation, speed-accuracy tradeoffs, or sensory limits. Sensor or physiological signals are indicators and may dissociate from the psychological state.</x:v>
      </x:c>
      <x:c r="I169" s="43" t="str">
        <x:v>SRC148; SRC109</x:v>
      </x:c>
    </x:row>
    <x:row r="170" ht="58" customHeight="1">
      <x:c r="A170" s="43" t="str">
        <x:v>OP-PSY-0166</x:v>
      </x:c>
      <x:c r="B170" s="43" t="str">
        <x:v>PSY-056</x:v>
      </x:c>
      <x:c r="C170" s="43" t="str">
        <x:v>Attentional Salience</x:v>
      </x:c>
      <x:c r="D170" s="43" t="str">
        <x:v>Construct-specific assessment: Detection speed</x:v>
      </x:c>
      <x:c r="E170" s="43" t="str">
        <x:v>Self-report / assessment</x:v>
      </x:c>
      <x:c r="F170" s="43" t="str">
        <x:v>Low–high subjective salience; attentional capture index</x:v>
      </x:c>
      <x:c r="G170" s="43" t="str">
        <x:v>Moderate</x:v>
      </x:c>
      <x:c r="H170" s="43" t="str">
        <x:v>Task measures often have low cross-task reliability and can reflect strategy, motivation, speed-accuracy tradeoffs, or sensory limits. Use behavior-, target-, and time-specific wording and report reliability and invariance where relevant.</x:v>
      </x:c>
      <x:c r="I170" s="43" t="str">
        <x:v>SRC148; SRC125</x:v>
      </x:c>
    </x:row>
    <x:row r="171" ht="58" customHeight="1">
      <x:c r="A171" s="43" t="str">
        <x:v>OP-PSY-0167</x:v>
      </x:c>
      <x:c r="B171" s="43" t="str">
        <x:v>PSY-056</x:v>
      </x:c>
      <x:c r="C171" s="43" t="str">
        <x:v>Attentional Salience</x:v>
      </x:c>
      <x:c r="D171" s="43" t="str">
        <x:v>Standardized task or scenario indicator: gaze capture</x:v>
      </x:c>
      <x:c r="E171" s="43" t="str">
        <x:v>Behavioral / clinical assessment</x:v>
      </x:c>
      <x:c r="F171" s="43" t="str">
        <x:v>Low–high subjective salience; attentional capture index</x:v>
      </x:c>
      <x:c r="G171" s="43" t="str">
        <x:v>Moderate</x:v>
      </x:c>
      <x:c r="H171" s="43" t="str">
        <x:v>Task measures often have low cross-task reliability and can reflect strategy, motivation, speed-accuracy tradeoffs, or sensory limits. Task performance is an indicator and should not be treated as a pure one-to-one measure.</x:v>
      </x:c>
      <x:c r="I171" s="43" t="str">
        <x:v>SRC148; SRC125</x:v>
      </x:c>
    </x:row>
    <x:row r="172" ht="58" customHeight="1">
      <x:c r="A172" s="43" t="str">
        <x:v>OP-PSY-0168</x:v>
      </x:c>
      <x:c r="B172" s="43" t="str">
        <x:v>PSY-056</x:v>
      </x:c>
      <x:c r="C172" s="43" t="str">
        <x:v>Attentional Salience</x:v>
      </x:c>
      <x:c r="D172" s="43" t="str">
        <x:v>Sensor- or timing-based triangulation: salience rating</x:v>
      </x:c>
      <x:c r="E172" s="43" t="str">
        <x:v>Physiological / sensor</x:v>
      </x:c>
      <x:c r="F172" s="43" t="str">
        <x:v>Time-series, latency, gaze, expression, or physiology as appropriate</x:v>
      </x:c>
      <x:c r="G172" s="43" t="str">
        <x:v>Moderate</x:v>
      </x:c>
      <x:c r="H172" s="43" t="str">
        <x:v>Task measures often have low cross-task reliability and can reflect strategy, motivation, speed-accuracy tradeoffs, or sensory limits. Sensor or physiological signals are indicators and may dissociate from the psychological state.</x:v>
      </x:c>
      <x:c r="I172" s="43" t="str">
        <x:v>SRC148; SRC125</x:v>
      </x:c>
    </x:row>
    <x:row r="173" ht="58" customHeight="1">
      <x:c r="A173" s="43" t="str">
        <x:v>OP-PSY-0169</x:v>
      </x:c>
      <x:c r="B173" s="43" t="str">
        <x:v>PSY-057</x:v>
      </x:c>
      <x:c r="C173" s="43" t="str">
        <x:v>Cognitive Load</x:v>
      </x:c>
      <x:c r="D173" s="43" t="str">
        <x:v>Construct-specific assessment: Dual-task cost</x:v>
      </x:c>
      <x:c r="E173" s="43" t="str">
        <x:v>Self-report / assessment</x:v>
      </x:c>
      <x:c r="F173" s="43" t="str">
        <x:v>Low–high workload; task-load manipulation; performance-derived estimate</x:v>
      </x:c>
      <x:c r="G173" s="43" t="str">
        <x:v>Moderate</x:v>
      </x:c>
      <x:c r="H173" s="43" t="str">
        <x:v>Task measures often have low cross-task reliability and can reflect strategy, motivation, speed-accuracy tradeoffs, or sensory limits. Use behavior-, target-, and time-specific wording and report reliability and invariance where relevant.</x:v>
      </x:c>
      <x:c r="I173" s="43" t="str">
        <x:v>SRC149; SRC147</x:v>
      </x:c>
    </x:row>
    <x:row r="174" ht="58" customHeight="1">
      <x:c r="A174" s="43" t="str">
        <x:v>OP-PSY-0170</x:v>
      </x:c>
      <x:c r="B174" s="43" t="str">
        <x:v>PSY-057</x:v>
      </x:c>
      <x:c r="C174" s="43" t="str">
        <x:v>Cognitive Load</x:v>
      </x:c>
      <x:c r="D174" s="43" t="str">
        <x:v>Standardized task or scenario indicator: workload rating</x:v>
      </x:c>
      <x:c r="E174" s="43" t="str">
        <x:v>Behavioral / clinical assessment</x:v>
      </x:c>
      <x:c r="F174" s="43" t="str">
        <x:v>Low–high workload; task-load manipulation; performance-derived estimate</x:v>
      </x:c>
      <x:c r="G174" s="43" t="str">
        <x:v>Moderate</x:v>
      </x:c>
      <x:c r="H174" s="43" t="str">
        <x:v>Task measures often have low cross-task reliability and can reflect strategy, motivation, speed-accuracy tradeoffs, or sensory limits. Task performance is an indicator and should not be treated as a pure one-to-one measure.</x:v>
      </x:c>
      <x:c r="I174" s="43" t="str">
        <x:v>SRC149; SRC147</x:v>
      </x:c>
    </x:row>
    <x:row r="175" ht="58" customHeight="1">
      <x:c r="A175" s="43" t="str">
        <x:v>OP-PSY-0171</x:v>
      </x:c>
      <x:c r="B175" s="43" t="str">
        <x:v>PSY-057</x:v>
      </x:c>
      <x:c r="C175" s="43" t="str">
        <x:v>Cognitive Load</x:v>
      </x:c>
      <x:c r="D175" s="43" t="str">
        <x:v>Sensor- or timing-based triangulation: error/latency increase</x:v>
      </x:c>
      <x:c r="E175" s="43" t="str">
        <x:v>Physiological / sensor</x:v>
      </x:c>
      <x:c r="F175" s="43" t="str">
        <x:v>Time-series, latency, gaze, expression, or physiology as appropriate</x:v>
      </x:c>
      <x:c r="G175" s="43" t="str">
        <x:v>Moderate</x:v>
      </x:c>
      <x:c r="H175" s="43" t="str">
        <x:v>Task measures often have low cross-task reliability and can reflect strategy, motivation, speed-accuracy tradeoffs, or sensory limits. Sensor or physiological signals are indicators and may dissociate from the psychological state.</x:v>
      </x:c>
      <x:c r="I175" s="43" t="str">
        <x:v>SRC149; SRC147</x:v>
      </x:c>
    </x:row>
    <x:row r="176" ht="58" customHeight="1">
      <x:c r="A176" s="43" t="str">
        <x:v>OP-PSY-0172</x:v>
      </x:c>
      <x:c r="B176" s="43" t="str">
        <x:v>PSY-058</x:v>
      </x:c>
      <x:c r="C176" s="43" t="str">
        <x:v>Working Memory Availability</x:v>
      </x:c>
      <x:c r="D176" s="43" t="str">
        <x:v>Construct-specific assessment: Span performance</x:v>
      </x:c>
      <x:c r="E176" s="43" t="str">
        <x:v>Self-report / assessment</x:v>
      </x:c>
      <x:c r="F176" s="43" t="str">
        <x:v>Low–high available capacity; residual span/performance estimate</x:v>
      </x:c>
      <x:c r="G176" s="43" t="str">
        <x:v>Moderate</x:v>
      </x:c>
      <x:c r="H176" s="43" t="str">
        <x:v>Task measures often have low cross-task reliability and can reflect strategy, motivation, speed-accuracy tradeoffs, or sensory limits. Use behavior-, target-, and time-specific wording and report reliability and invariance where relevant.</x:v>
      </x:c>
      <x:c r="I176" s="43" t="str">
        <x:v>SRC147; SRC148; SRC149</x:v>
      </x:c>
    </x:row>
    <x:row r="177" ht="58" customHeight="1">
      <x:c r="A177" s="43" t="str">
        <x:v>OP-PSY-0173</x:v>
      </x:c>
      <x:c r="B177" s="43" t="str">
        <x:v>PSY-058</x:v>
      </x:c>
      <x:c r="C177" s="43" t="str">
        <x:v>Working Memory Availability</x:v>
      </x:c>
      <x:c r="D177" s="43" t="str">
        <x:v>Standardized task or scenario indicator: n-back or complex-task accuracy</x:v>
      </x:c>
      <x:c r="E177" s="43" t="str">
        <x:v>Behavioral / clinical assessment</x:v>
      </x:c>
      <x:c r="F177" s="43" t="str">
        <x:v>Low–high available capacity; residual span/performance estimate</x:v>
      </x:c>
      <x:c r="G177" s="43" t="str">
        <x:v>Moderate</x:v>
      </x:c>
      <x:c r="H177" s="43" t="str">
        <x:v>Task measures often have low cross-task reliability and can reflect strategy, motivation, speed-accuracy tradeoffs, or sensory limits. Task performance is an indicator and should not be treated as a pure one-to-one measure.</x:v>
      </x:c>
      <x:c r="I177" s="43" t="str">
        <x:v>SRC147; SRC148; SRC149</x:v>
      </x:c>
    </x:row>
    <x:row r="178" ht="58" customHeight="1">
      <x:c r="A178" s="43" t="str">
        <x:v>OP-PSY-0174</x:v>
      </x:c>
      <x:c r="B178" s="43" t="str">
        <x:v>PSY-058</x:v>
      </x:c>
      <x:c r="C178" s="43" t="str">
        <x:v>Working Memory Availability</x:v>
      </x:c>
      <x:c r="D178" s="43" t="str">
        <x:v>Sensor- or timing-based triangulation: interference cost</x:v>
      </x:c>
      <x:c r="E178" s="43" t="str">
        <x:v>Physiological / sensor</x:v>
      </x:c>
      <x:c r="F178" s="43" t="str">
        <x:v>Time-series, latency, gaze, expression, or physiology as appropriate</x:v>
      </x:c>
      <x:c r="G178" s="43" t="str">
        <x:v>Moderate</x:v>
      </x:c>
      <x:c r="H178" s="43" t="str">
        <x:v>Task measures often have low cross-task reliability and can reflect strategy, motivation, speed-accuracy tradeoffs, or sensory limits. Sensor or physiological signals are indicators and may dissociate from the psychological state.</x:v>
      </x:c>
      <x:c r="I178" s="43" t="str">
        <x:v>SRC147; SRC148; SRC149</x:v>
      </x:c>
    </x:row>
    <x:row r="179" ht="58" customHeight="1">
      <x:c r="A179" s="43" t="str">
        <x:v>OP-PSY-0175</x:v>
      </x:c>
      <x:c r="B179" s="43" t="str">
        <x:v>PSY-059</x:v>
      </x:c>
      <x:c r="C179" s="43" t="str">
        <x:v>Elaboration Depth</x:v>
      </x:c>
      <x:c r="D179" s="43" t="str">
        <x:v>Construct-specific assessment: Thought-listing</x:v>
      </x:c>
      <x:c r="E179" s="43" t="str">
        <x:v>Self-report / assessment</x:v>
      </x:c>
      <x:c r="F179" s="43" t="str">
        <x:v>Low–high elaboration; thought count/quality; processing-time index</x:v>
      </x:c>
      <x:c r="G179" s="43" t="str">
        <x:v>Moderate</x:v>
      </x:c>
      <x:c r="H179" s="43" t="str">
        <x:v>Task measures often have low cross-task reliability and can reflect strategy, motivation, speed-accuracy tradeoffs, or sensory limits. Use behavior-, target-, and time-specific wording and report reliability and invariance where relevant.</x:v>
      </x:c>
      <x:c r="I179" s="43" t="str">
        <x:v>SRC117; SRC162</x:v>
      </x:c>
    </x:row>
    <x:row r="180" ht="58" customHeight="1">
      <x:c r="A180" s="43" t="str">
        <x:v>OP-PSY-0176</x:v>
      </x:c>
      <x:c r="B180" s="43" t="str">
        <x:v>PSY-059</x:v>
      </x:c>
      <x:c r="C180" s="43" t="str">
        <x:v>Elaboration Depth</x:v>
      </x:c>
      <x:c r="D180" s="43" t="str">
        <x:v>Standardized task or scenario indicator: argument recall</x:v>
      </x:c>
      <x:c r="E180" s="43" t="str">
        <x:v>Behavioral / clinical assessment</x:v>
      </x:c>
      <x:c r="F180" s="43" t="str">
        <x:v>Low–high elaboration; thought count/quality; processing-time index</x:v>
      </x:c>
      <x:c r="G180" s="43" t="str">
        <x:v>Moderate</x:v>
      </x:c>
      <x:c r="H180" s="43" t="str">
        <x:v>Task measures often have low cross-task reliability and can reflect strategy, motivation, speed-accuracy tradeoffs, or sensory limits. Task performance is an indicator and should not be treated as a pure one-to-one measure.</x:v>
      </x:c>
      <x:c r="I180" s="43" t="str">
        <x:v>SRC117; SRC162</x:v>
      </x:c>
    </x:row>
    <x:row r="181" ht="58" customHeight="1">
      <x:c r="A181" s="43" t="str">
        <x:v>OP-PSY-0177</x:v>
      </x:c>
      <x:c r="B181" s="43" t="str">
        <x:v>PSY-059</x:v>
      </x:c>
      <x:c r="C181" s="43" t="str">
        <x:v>Elaboration Depth</x:v>
      </x:c>
      <x:c r="D181" s="43" t="str">
        <x:v>Sensor- or timing-based triangulation: processing time</x:v>
      </x:c>
      <x:c r="E181" s="43" t="str">
        <x:v>Physiological / sensor</x:v>
      </x:c>
      <x:c r="F181" s="43" t="str">
        <x:v>Time-series, latency, gaze, expression, or physiology as appropriate</x:v>
      </x:c>
      <x:c r="G181" s="43" t="str">
        <x:v>Moderate</x:v>
      </x:c>
      <x:c r="H181" s="43" t="str">
        <x:v>Task measures often have low cross-task reliability and can reflect strategy, motivation, speed-accuracy tradeoffs, or sensory limits. Sensor or physiological signals are indicators and may dissociate from the psychological state.</x:v>
      </x:c>
      <x:c r="I181" s="43" t="str">
        <x:v>SRC117; SRC162</x:v>
      </x:c>
    </x:row>
    <x:row r="182" ht="58" customHeight="1">
      <x:c r="A182" s="43" t="str">
        <x:v>OP-PSY-0178</x:v>
      </x:c>
      <x:c r="B182" s="43" t="str">
        <x:v>PSY-060</x:v>
      </x:c>
      <x:c r="C182" s="43" t="str">
        <x:v>Construal Frame</x:v>
      </x:c>
      <x:c r="D182" s="43" t="str">
        <x:v>Construct-specific assessment: Frame endorsement</x:v>
      </x:c>
      <x:c r="E182" s="43" t="str">
        <x:v>Self-report / assessment</x:v>
      </x:c>
      <x:c r="F182" s="43" t="str">
        <x:v>Frame category; gain/loss; concrete/abstract; diagnostic coding</x:v>
      </x:c>
      <x:c r="G182" s="43" t="str">
        <x:v>Moderate</x:v>
      </x:c>
      <x:c r="H182" s="43" t="str">
        <x:v>Task measures often have low cross-task reliability and can reflect strategy, motivation, speed-accuracy tradeoffs, or sensory limits. Use behavior-, target-, and time-specific wording and report reliability and invariance where relevant.</x:v>
      </x:c>
      <x:c r="I182" s="43" t="str">
        <x:v>SRC113; SRC183</x:v>
      </x:c>
    </x:row>
    <x:row r="183" ht="58" customHeight="1">
      <x:c r="A183" s="43" t="str">
        <x:v>OP-PSY-0179</x:v>
      </x:c>
      <x:c r="B183" s="43" t="str">
        <x:v>PSY-060</x:v>
      </x:c>
      <x:c r="C183" s="43" t="str">
        <x:v>Construal Frame</x:v>
      </x:c>
      <x:c r="D183" s="43" t="str">
        <x:v>Standardized task or scenario indicator: language coding</x:v>
      </x:c>
      <x:c r="E183" s="43" t="str">
        <x:v>Behavioral / clinical assessment</x:v>
      </x:c>
      <x:c r="F183" s="43" t="str">
        <x:v>Frame category; gain/loss; concrete/abstract; diagnostic coding</x:v>
      </x:c>
      <x:c r="G183" s="43" t="str">
        <x:v>Moderate</x:v>
      </x:c>
      <x:c r="H183" s="43" t="str">
        <x:v>Task measures often have low cross-task reliability and can reflect strategy, motivation, speed-accuracy tradeoffs, or sensory limits. Task performance is an indicator and should not be treated as a pure one-to-one measure.</x:v>
      </x:c>
      <x:c r="I183" s="43" t="str">
        <x:v>SRC113; SRC183</x:v>
      </x:c>
    </x:row>
    <x:row r="184" ht="58" customHeight="1">
      <x:c r="A184" s="43" t="str">
        <x:v>OP-PSY-0180</x:v>
      </x:c>
      <x:c r="B184" s="43" t="str">
        <x:v>PSY-060</x:v>
      </x:c>
      <x:c r="C184" s="43" t="str">
        <x:v>Construal Frame</x:v>
      </x:c>
      <x:c r="D184" s="43" t="str">
        <x:v>Sensor- or timing-based triangulation: attribute weighting</x:v>
      </x:c>
      <x:c r="E184" s="43" t="str">
        <x:v>Physiological / sensor</x:v>
      </x:c>
      <x:c r="F184" s="43" t="str">
        <x:v>Time-series, latency, gaze, expression, or physiology as appropriate</x:v>
      </x:c>
      <x:c r="G184" s="43" t="str">
        <x:v>Moderate</x:v>
      </x:c>
      <x:c r="H184" s="43" t="str">
        <x:v>Task measures often have low cross-task reliability and can reflect strategy, motivation, speed-accuracy tradeoffs, or sensory limits. Sensor or physiological signals are indicators and may dissociate from the psychological state.</x:v>
      </x:c>
      <x:c r="I184" s="43" t="str">
        <x:v>SRC113; SRC183</x:v>
      </x:c>
    </x:row>
    <x:row r="185" ht="58" customHeight="1">
      <x:c r="A185" s="43" t="str">
        <x:v>OP-PSY-0181</x:v>
      </x:c>
      <x:c r="B185" s="43" t="str">
        <x:v>PSY-061</x:v>
      </x:c>
      <x:c r="C185" s="43" t="str">
        <x:v>Processing Fluency</x:v>
      </x:c>
      <x:c r="D185" s="43" t="str">
        <x:v>Construct-specific assessment: Ease rating</x:v>
      </x:c>
      <x:c r="E185" s="43" t="str">
        <x:v>Self-report / assessment</x:v>
      </x:c>
      <x:c r="F185" s="43" t="str">
        <x:v>Low–high ease rating; response latency or disfluency manipulation</x:v>
      </x:c>
      <x:c r="G185" s="43" t="str">
        <x:v>Moderate</x:v>
      </x:c>
      <x:c r="H185" s="43" t="str">
        <x:v>Task measures often have low cross-task reliability and can reflect strategy, motivation, speed-accuracy tradeoffs, or sensory limits. Use behavior-, target-, and time-specific wording and report reliability and invariance where relevant.</x:v>
      </x:c>
      <x:c r="I185" s="43" t="str">
        <x:v>SRC125; SRC171</x:v>
      </x:c>
    </x:row>
    <x:row r="186" ht="58" customHeight="1">
      <x:c r="A186" s="43" t="str">
        <x:v>OP-PSY-0182</x:v>
      </x:c>
      <x:c r="B186" s="43" t="str">
        <x:v>PSY-061</x:v>
      </x:c>
      <x:c r="C186" s="43" t="str">
        <x:v>Processing Fluency</x:v>
      </x:c>
      <x:c r="D186" s="43" t="str">
        <x:v>Standardized task or scenario indicator: response time</x:v>
      </x:c>
      <x:c r="E186" s="43" t="str">
        <x:v>Behavioral / clinical assessment</x:v>
      </x:c>
      <x:c r="F186" s="43" t="str">
        <x:v>Low–high ease rating; response latency or disfluency manipulation</x:v>
      </x:c>
      <x:c r="G186" s="43" t="str">
        <x:v>Moderate</x:v>
      </x:c>
      <x:c r="H186" s="43" t="str">
        <x:v>Task measures often have low cross-task reliability and can reflect strategy, motivation, speed-accuracy tradeoffs, or sensory limits. Task performance is an indicator and should not be treated as a pure one-to-one measure.</x:v>
      </x:c>
      <x:c r="I186" s="43" t="str">
        <x:v>SRC125; SRC171</x:v>
      </x:c>
    </x:row>
    <x:row r="187" ht="58" customHeight="1">
      <x:c r="A187" s="43" t="str">
        <x:v>OP-PSY-0183</x:v>
      </x:c>
      <x:c r="B187" s="43" t="str">
        <x:v>PSY-061</x:v>
      </x:c>
      <x:c r="C187" s="43" t="str">
        <x:v>Processing Fluency</x:v>
      </x:c>
      <x:c r="D187" s="43" t="str">
        <x:v>Sensor- or timing-based triangulation: subjective familiarity</x:v>
      </x:c>
      <x:c r="E187" s="43" t="str">
        <x:v>Physiological / sensor</x:v>
      </x:c>
      <x:c r="F187" s="43" t="str">
        <x:v>Time-series, latency, gaze, expression, or physiology as appropriate</x:v>
      </x:c>
      <x:c r="G187" s="43" t="str">
        <x:v>Moderate</x:v>
      </x:c>
      <x:c r="H187" s="43" t="str">
        <x:v>Task measures often have low cross-task reliability and can reflect strategy, motivation, speed-accuracy tradeoffs, or sensory limits. Sensor or physiological signals are indicators and may dissociate from the psychological state.</x:v>
      </x:c>
      <x:c r="I187" s="43" t="str">
        <x:v>SRC125; SRC171</x:v>
      </x:c>
    </x:row>
    <x:row r="188" ht="58" customHeight="1">
      <x:c r="A188" s="43" t="str">
        <x:v>OP-PSY-0184</x:v>
      </x:c>
      <x:c r="B188" s="43" t="str">
        <x:v>PSY-062</x:v>
      </x:c>
      <x:c r="C188" s="43" t="str">
        <x:v>Cognitive Flexibility</x:v>
      </x:c>
      <x:c r="D188" s="43" t="str">
        <x:v>Construct-specific assessment: Switch cost</x:v>
      </x:c>
      <x:c r="E188" s="43" t="str">
        <x:v>Self-report / assessment</x:v>
      </x:c>
      <x:c r="F188" s="43" t="str">
        <x:v>Low–high flexibility; switch cost; validated flexibility measure</x:v>
      </x:c>
      <x:c r="G188" s="43" t="str">
        <x:v>Moderate</x:v>
      </x:c>
      <x:c r="H188" s="43" t="str">
        <x:v>Task measures often have low cross-task reliability and can reflect strategy, motivation, speed-accuracy tradeoffs, or sensory limits. Use behavior-, target-, and time-specific wording and report reliability and invariance where relevant.</x:v>
      </x:c>
      <x:c r="I188" s="43" t="str">
        <x:v>SRC150; SRC149</x:v>
      </x:c>
    </x:row>
    <x:row r="189" ht="58" customHeight="1">
      <x:c r="A189" s="43" t="str">
        <x:v>OP-PSY-0185</x:v>
      </x:c>
      <x:c r="B189" s="43" t="str">
        <x:v>PSY-062</x:v>
      </x:c>
      <x:c r="C189" s="43" t="str">
        <x:v>Cognitive Flexibility</x:v>
      </x:c>
      <x:c r="D189" s="43" t="str">
        <x:v>Standardized task or scenario indicator: perseverative errors</x:v>
      </x:c>
      <x:c r="E189" s="43" t="str">
        <x:v>Behavioral / clinical assessment</x:v>
      </x:c>
      <x:c r="F189" s="43" t="str">
        <x:v>Low–high flexibility; switch cost; validated flexibility measure</x:v>
      </x:c>
      <x:c r="G189" s="43" t="str">
        <x:v>Moderate</x:v>
      </x:c>
      <x:c r="H189" s="43" t="str">
        <x:v>Task measures often have low cross-task reliability and can reflect strategy, motivation, speed-accuracy tradeoffs, or sensory limits. Task performance is an indicator and should not be treated as a pure one-to-one measure.</x:v>
      </x:c>
      <x:c r="I189" s="43" t="str">
        <x:v>SRC150; SRC149</x:v>
      </x:c>
    </x:row>
    <x:row r="190" ht="58" customHeight="1">
      <x:c r="A190" s="43" t="str">
        <x:v>OP-PSY-0186</x:v>
      </x:c>
      <x:c r="B190" s="43" t="str">
        <x:v>PSY-062</x:v>
      </x:c>
      <x:c r="C190" s="43" t="str">
        <x:v>Cognitive Flexibility</x:v>
      </x:c>
      <x:c r="D190" s="43" t="str">
        <x:v>Sensor- or timing-based triangulation: flexibility ratings</x:v>
      </x:c>
      <x:c r="E190" s="43" t="str">
        <x:v>Physiological / sensor</x:v>
      </x:c>
      <x:c r="F190" s="43" t="str">
        <x:v>Time-series, latency, gaze, expression, or physiology as appropriate</x:v>
      </x:c>
      <x:c r="G190" s="43" t="str">
        <x:v>Moderate</x:v>
      </x:c>
      <x:c r="H190" s="43" t="str">
        <x:v>Task measures often have low cross-task reliability and can reflect strategy, motivation, speed-accuracy tradeoffs, or sensory limits. Sensor or physiological signals are indicators and may dissociate from the psychological state.</x:v>
      </x:c>
      <x:c r="I190" s="43" t="str">
        <x:v>SRC150; SRC149</x:v>
      </x:c>
    </x:row>
    <x:row r="191" ht="58" customHeight="1">
      <x:c r="A191" s="43" t="str">
        <x:v>OP-PSY-0187</x:v>
      </x:c>
      <x:c r="B191" s="43" t="str">
        <x:v>PSY-063</x:v>
      </x:c>
      <x:c r="C191" s="43" t="str">
        <x:v>Causal Belief Strength</x:v>
      </x:c>
      <x:c r="D191" s="43" t="str">
        <x:v>Construct-specific assessment: Causal ratings</x:v>
      </x:c>
      <x:c r="E191" s="43" t="str">
        <x:v>Self-report / assessment</x:v>
      </x:c>
      <x:c r="F191" s="43" t="str">
        <x:v>0–1 causal probability; low–high causal confidence</x:v>
      </x:c>
      <x:c r="G191" s="43" t="str">
        <x:v>Moderate</x:v>
      </x:c>
      <x:c r="H191" s="43" t="str">
        <x:v>Accessible or familiar information may be inaccurate; observed recall depends on cues and does not fully reveal stored representation. Use behavior-, target-, and time-specific wording and report reliability and invariance where relevant.</x:v>
      </x:c>
      <x:c r="I191" s="43" t="str">
        <x:v>SRC151; SRC109</x:v>
      </x:c>
    </x:row>
    <x:row r="192" ht="58" customHeight="1">
      <x:c r="A192" s="43" t="str">
        <x:v>OP-PSY-0188</x:v>
      </x:c>
      <x:c r="B192" s="43" t="str">
        <x:v>PSY-063</x:v>
      </x:c>
      <x:c r="C192" s="43" t="str">
        <x:v>Causal Belief Strength</x:v>
      </x:c>
      <x:c r="D192" s="43" t="str">
        <x:v>Behavioral or scenario-based indicator: intervention choice</x:v>
      </x:c>
      <x:c r="E192" s="43" t="str">
        <x:v>Behavioral / clinical assessment</x:v>
      </x:c>
      <x:c r="F192" s="43" t="str">
        <x:v>0–1 causal probability; low–high causal confidence</x:v>
      </x:c>
      <x:c r="G192" s="43" t="str">
        <x:v>Moderate</x:v>
      </x:c>
      <x:c r="H192" s="43" t="str">
        <x:v>Accessible or familiar information may be inaccurate; observed recall depends on cues and does not fully reveal stored representation. Behavioral manifestations are conditional and should be triangulated with construct-specific assessment.</x:v>
      </x:c>
      <x:c r="I192" s="43" t="str">
        <x:v>SRC151; SRC109</x:v>
      </x:c>
    </x:row>
    <x:row r="193" ht="58" customHeight="1">
      <x:c r="A193" s="43" t="str">
        <x:v>OP-PSY-0189</x:v>
      </x:c>
      <x:c r="B193" s="43" t="str">
        <x:v>PSY-063</x:v>
      </x:c>
      <x:c r="C193" s="43" t="str">
        <x:v>Causal Belief Strength</x:v>
      </x:c>
      <x:c r="D193" s="43" t="str">
        <x:v>Structured scenario or expert-coded elicitation for Causal Belief Strength</x:v>
      </x:c>
      <x:c r="E193" s="43" t="str">
        <x:v>Expert elicitation</x:v>
      </x:c>
      <x:c r="F193" s="43" t="str">
        <x:v>Anchored ordinal or continuous judgment with documented rubric</x:v>
      </x:c>
      <x:c r="G193" s="43" t="str">
        <x:v>Moderate</x:v>
      </x:c>
      <x:c r="H193" s="43" t="str">
        <x:v>Accessible or familiar information may be inaccurate; observed recall depends on cues and does not fully reveal stored representation. Expert inference should use multiple raters, explicit uncertainty, and evidence independent of the target outcome.</x:v>
      </x:c>
      <x:c r="I193" s="43" t="str">
        <x:v>SRC151; SRC109</x:v>
      </x:c>
    </x:row>
    <x:row r="194" ht="58" customHeight="1">
      <x:c r="A194" s="43" t="str">
        <x:v>OP-PSY-0190</x:v>
      </x:c>
      <x:c r="B194" s="43" t="str">
        <x:v>PSY-064</x:v>
      </x:c>
      <x:c r="C194" s="43" t="str">
        <x:v>Mental Model Coherence</x:v>
      </x:c>
      <x:c r="D194" s="43" t="str">
        <x:v>Construct-specific assessment: Concept-map structure</x:v>
      </x:c>
      <x:c r="E194" s="43" t="str">
        <x:v>Self-report / assessment</x:v>
      </x:c>
      <x:c r="F194" s="43" t="str">
        <x:v>Low–high coherence; concept-map consistency; model-fit score</x:v>
      </x:c>
      <x:c r="G194" s="43" t="str">
        <x:v>Moderate</x:v>
      </x:c>
      <x:c r="H194" s="43" t="str">
        <x:v>Accessible or familiar information may be inaccurate; observed recall depends on cues and does not fully reveal stored representation. Use behavior-, target-, and time-specific wording and report reliability and invariance where relevant.</x:v>
      </x:c>
      <x:c r="I194" s="43" t="str">
        <x:v>SRC151; SRC109</x:v>
      </x:c>
    </x:row>
    <x:row r="195" ht="58" customHeight="1">
      <x:c r="A195" s="43" t="str">
        <x:v>OP-PSY-0191</x:v>
      </x:c>
      <x:c r="B195" s="43" t="str">
        <x:v>PSY-064</x:v>
      </x:c>
      <x:c r="C195" s="43" t="str">
        <x:v>Mental Model Coherence</x:v>
      </x:c>
      <x:c r="D195" s="43" t="str">
        <x:v>Behavioral or scenario-based indicator: inference consistency</x:v>
      </x:c>
      <x:c r="E195" s="43" t="str">
        <x:v>Behavioral / clinical assessment</x:v>
      </x:c>
      <x:c r="F195" s="43" t="str">
        <x:v>Low–high coherence; concept-map consistency; model-fit score</x:v>
      </x:c>
      <x:c r="G195" s="43" t="str">
        <x:v>Moderate</x:v>
      </x:c>
      <x:c r="H195" s="43" t="str">
        <x:v>Accessible or familiar information may be inaccurate; observed recall depends on cues and does not fully reveal stored representation. Behavioral manifestations are conditional and should be triangulated with construct-specific assessment.</x:v>
      </x:c>
      <x:c r="I195" s="43" t="str">
        <x:v>SRC151; SRC109</x:v>
      </x:c>
    </x:row>
    <x:row r="196" ht="58" customHeight="1">
      <x:c r="A196" s="43" t="str">
        <x:v>OP-PSY-0192</x:v>
      </x:c>
      <x:c r="B196" s="43" t="str">
        <x:v>PSY-064</x:v>
      </x:c>
      <x:c r="C196" s="43" t="str">
        <x:v>Mental Model Coherence</x:v>
      </x:c>
      <x:c r="D196" s="43" t="str">
        <x:v>Structured scenario or expert-coded elicitation for Mental Model Coherence</x:v>
      </x:c>
      <x:c r="E196" s="43" t="str">
        <x:v>Expert elicitation</x:v>
      </x:c>
      <x:c r="F196" s="43" t="str">
        <x:v>Anchored ordinal or continuous judgment with documented rubric</x:v>
      </x:c>
      <x:c r="G196" s="43" t="str">
        <x:v>Moderate</x:v>
      </x:c>
      <x:c r="H196" s="43" t="str">
        <x:v>Accessible or familiar information may be inaccurate; observed recall depends on cues and does not fully reveal stored representation. Expert inference should use multiple raters, explicit uncertainty, and evidence independent of the target outcome.</x:v>
      </x:c>
      <x:c r="I196" s="43" t="str">
        <x:v>SRC151; SRC109</x:v>
      </x:c>
    </x:row>
    <x:row r="197" ht="58" customHeight="1">
      <x:c r="A197" s="43" t="str">
        <x:v>OP-PSY-0193</x:v>
      </x:c>
      <x:c r="B197" s="43" t="str">
        <x:v>PSY-065</x:v>
      </x:c>
      <x:c r="C197" s="43" t="str">
        <x:v>Domain Knowledge</x:v>
      </x:c>
      <x:c r="D197" s="43" t="str">
        <x:v>Construct-specific assessment: Knowledge-test performance</x:v>
      </x:c>
      <x:c r="E197" s="43" t="str">
        <x:v>Self-report / assessment</x:v>
      </x:c>
      <x:c r="F197" s="43" t="str">
        <x:v>Test score; calibrated knowledge profile; concept coverage and accuracy</x:v>
      </x:c>
      <x:c r="G197" s="43" t="str">
        <x:v>Moderate</x:v>
      </x:c>
      <x:c r="H197" s="43" t="str">
        <x:v>Accessible or familiar information may be inaccurate; observed recall depends on cues and does not fully reveal stored representation. Use behavior-, target-, and time-specific wording and report reliability and invariance where relevant.</x:v>
      </x:c>
      <x:c r="I197" s="43" t="str">
        <x:v>SRC151; SRC109</x:v>
      </x:c>
    </x:row>
    <x:row r="198" ht="58" customHeight="1">
      <x:c r="A198" s="43" t="str">
        <x:v>OP-PSY-0194</x:v>
      </x:c>
      <x:c r="B198" s="43" t="str">
        <x:v>PSY-065</x:v>
      </x:c>
      <x:c r="C198" s="43" t="str">
        <x:v>Domain Knowledge</x:v>
      </x:c>
      <x:c r="D198" s="43" t="str">
        <x:v>Behavioral or scenario-based indicator: explanation accuracy</x:v>
      </x:c>
      <x:c r="E198" s="43" t="str">
        <x:v>Behavioral / clinical assessment</x:v>
      </x:c>
      <x:c r="F198" s="43" t="str">
        <x:v>Test score; calibrated knowledge profile; concept coverage and accuracy</x:v>
      </x:c>
      <x:c r="G198" s="43" t="str">
        <x:v>Moderate</x:v>
      </x:c>
      <x:c r="H198" s="43" t="str">
        <x:v>Accessible or familiar information may be inaccurate; observed recall depends on cues and does not fully reveal stored representation. Behavioral manifestations are conditional and should be triangulated with construct-specific assessment.</x:v>
      </x:c>
      <x:c r="I198" s="43" t="str">
        <x:v>SRC151; SRC109</x:v>
      </x:c>
    </x:row>
    <x:row r="199" ht="58" customHeight="1">
      <x:c r="A199" s="43" t="str">
        <x:v>OP-PSY-0195</x:v>
      </x:c>
      <x:c r="B199" s="43" t="str">
        <x:v>PSY-065</x:v>
      </x:c>
      <x:c r="C199" s="43" t="str">
        <x:v>Domain Knowledge</x:v>
      </x:c>
      <x:c r="D199" s="43" t="str">
        <x:v>Structured scenario or expert-coded elicitation for Domain Knowledge</x:v>
      </x:c>
      <x:c r="E199" s="43" t="str">
        <x:v>Expert elicitation</x:v>
      </x:c>
      <x:c r="F199" s="43" t="str">
        <x:v>Anchored ordinal or continuous judgment with documented rubric</x:v>
      </x:c>
      <x:c r="G199" s="43" t="str">
        <x:v>Moderate</x:v>
      </x:c>
      <x:c r="H199" s="43" t="str">
        <x:v>Accessible or familiar information may be inaccurate; observed recall depends on cues and does not fully reveal stored representation. Expert inference should use multiple raters, explicit uncertainty, and evidence independent of the target outcome.</x:v>
      </x:c>
      <x:c r="I199" s="43" t="str">
        <x:v>SRC151; SRC109</x:v>
      </x:c>
    </x:row>
    <x:row r="200" ht="58" customHeight="1">
      <x:c r="A200" s="43" t="str">
        <x:v>OP-PSY-0196</x:v>
      </x:c>
      <x:c r="B200" s="43" t="str">
        <x:v>PSY-066</x:v>
      </x:c>
      <x:c r="C200" s="43" t="str">
        <x:v>Memory Accessibility</x:v>
      </x:c>
      <x:c r="D200" s="43" t="str">
        <x:v>Construct-specific assessment: Recall latency</x:v>
      </x:c>
      <x:c r="E200" s="43" t="str">
        <x:v>Self-report / assessment</x:v>
      </x:c>
      <x:c r="F200" s="43" t="str">
        <x:v>Low–high accessibility; response latency; recall probability</x:v>
      </x:c>
      <x:c r="G200" s="43" t="str">
        <x:v>Moderate</x:v>
      </x:c>
      <x:c r="H200" s="43" t="str">
        <x:v>Accessible or familiar information may be inaccurate; observed recall depends on cues and does not fully reveal stored representation. Use behavior-, target-, and time-specific wording and report reliability and invariance where relevant.</x:v>
      </x:c>
      <x:c r="I200" s="43" t="str">
        <x:v>SRC152; SRC125</x:v>
      </x:c>
    </x:row>
    <x:row r="201" ht="58" customHeight="1">
      <x:c r="A201" s="43" t="str">
        <x:v>OP-PSY-0197</x:v>
      </x:c>
      <x:c r="B201" s="43" t="str">
        <x:v>PSY-066</x:v>
      </x:c>
      <x:c r="C201" s="43" t="str">
        <x:v>Memory Accessibility</x:v>
      </x:c>
      <x:c r="D201" s="43" t="str">
        <x:v>Behavioral or scenario-based indicator: free-recall probability</x:v>
      </x:c>
      <x:c r="E201" s="43" t="str">
        <x:v>Behavioral / clinical assessment</x:v>
      </x:c>
      <x:c r="F201" s="43" t="str">
        <x:v>Low–high accessibility; response latency; recall probability</x:v>
      </x:c>
      <x:c r="G201" s="43" t="str">
        <x:v>Moderate</x:v>
      </x:c>
      <x:c r="H201" s="43" t="str">
        <x:v>Accessible or familiar information may be inaccurate; observed recall depends on cues and does not fully reveal stored representation. Behavioral manifestations are conditional and should be triangulated with construct-specific assessment.</x:v>
      </x:c>
      <x:c r="I201" s="43" t="str">
        <x:v>SRC152; SRC125</x:v>
      </x:c>
    </x:row>
    <x:row r="202" ht="58" customHeight="1">
      <x:c r="A202" s="43" t="str">
        <x:v>OP-PSY-0198</x:v>
      </x:c>
      <x:c r="B202" s="43" t="str">
        <x:v>PSY-066</x:v>
      </x:c>
      <x:c r="C202" s="43" t="str">
        <x:v>Memory Accessibility</x:v>
      </x:c>
      <x:c r="D202" s="43" t="str">
        <x:v>Structured scenario or expert-coded elicitation for Memory Accessibility</x:v>
      </x:c>
      <x:c r="E202" s="43" t="str">
        <x:v>Expert elicitation</x:v>
      </x:c>
      <x:c r="F202" s="43" t="str">
        <x:v>Anchored ordinal or continuous judgment with documented rubric</x:v>
      </x:c>
      <x:c r="G202" s="43" t="str">
        <x:v>Moderate</x:v>
      </x:c>
      <x:c r="H202" s="43" t="str">
        <x:v>Accessible or familiar information may be inaccurate; observed recall depends on cues and does not fully reveal stored representation. Expert inference should use multiple raters, explicit uncertainty, and evidence independent of the target outcome.</x:v>
      </x:c>
      <x:c r="I202" s="43" t="str">
        <x:v>SRC152; SRC125</x:v>
      </x:c>
    </x:row>
    <x:row r="203" ht="58" customHeight="1">
      <x:c r="A203" s="43" t="str">
        <x:v>OP-PSY-0199</x:v>
      </x:c>
      <x:c r="B203" s="43" t="str">
        <x:v>PSY-067</x:v>
      </x:c>
      <x:c r="C203" s="43" t="str">
        <x:v>Familiarity</x:v>
      </x:c>
      <x:c r="D203" s="43" t="str">
        <x:v>Construct-specific assessment: Familiarity rating</x:v>
      </x:c>
      <x:c r="E203" s="43" t="str">
        <x:v>Self-report / assessment</x:v>
      </x:c>
      <x:c r="F203" s="43" t="str">
        <x:v>Novel–highly familiar; recognition-familiarity estimate</x:v>
      </x:c>
      <x:c r="G203" s="43" t="str">
        <x:v>Moderate</x:v>
      </x:c>
      <x:c r="H203" s="43" t="str">
        <x:v>Accessible or familiar information may be inaccurate; observed recall depends on cues and does not fully reveal stored representation. Use behavior-, target-, and time-specific wording and report reliability and invariance where relevant.</x:v>
      </x:c>
      <x:c r="I203" s="43" t="str">
        <x:v>SRC125; SRC171</x:v>
      </x:c>
    </x:row>
    <x:row r="204" ht="58" customHeight="1">
      <x:c r="A204" s="43" t="str">
        <x:v>OP-PSY-0200</x:v>
      </x:c>
      <x:c r="B204" s="43" t="str">
        <x:v>PSY-067</x:v>
      </x:c>
      <x:c r="C204" s="43" t="str">
        <x:v>Familiarity</x:v>
      </x:c>
      <x:c r="D204" s="43" t="str">
        <x:v>Behavioral or scenario-based indicator: recognition response</x:v>
      </x:c>
      <x:c r="E204" s="43" t="str">
        <x:v>Behavioral / clinical assessment</x:v>
      </x:c>
      <x:c r="F204" s="43" t="str">
        <x:v>Novel–highly familiar; recognition-familiarity estimate</x:v>
      </x:c>
      <x:c r="G204" s="43" t="str">
        <x:v>Moderate</x:v>
      </x:c>
      <x:c r="H204" s="43" t="str">
        <x:v>Accessible or familiar information may be inaccurate; observed recall depends on cues and does not fully reveal stored representation. Behavioral manifestations are conditional and should be triangulated with construct-specific assessment.</x:v>
      </x:c>
      <x:c r="I204" s="43" t="str">
        <x:v>SRC125; SRC171</x:v>
      </x:c>
    </x:row>
    <x:row r="205" ht="58" customHeight="1">
      <x:c r="A205" s="43" t="str">
        <x:v>OP-PSY-0201</x:v>
      </x:c>
      <x:c r="B205" s="43" t="str">
        <x:v>PSY-067</x:v>
      </x:c>
      <x:c r="C205" s="43" t="str">
        <x:v>Familiarity</x:v>
      </x:c>
      <x:c r="D205" s="43" t="str">
        <x:v>Structured scenario or expert-coded elicitation for Familiarity</x:v>
      </x:c>
      <x:c r="E205" s="43" t="str">
        <x:v>Expert elicitation</x:v>
      </x:c>
      <x:c r="F205" s="43" t="str">
        <x:v>Anchored ordinal or continuous judgment with documented rubric</x:v>
      </x:c>
      <x:c r="G205" s="43" t="str">
        <x:v>Moderate</x:v>
      </x:c>
      <x:c r="H205" s="43" t="str">
        <x:v>Accessible or familiar information may be inaccurate; observed recall depends on cues and does not fully reveal stored representation. Expert inference should use multiple raters, explicit uncertainty, and evidence independent of the target outcome.</x:v>
      </x:c>
      <x:c r="I205" s="43" t="str">
        <x:v>SRC125; SRC171</x:v>
      </x:c>
    </x:row>
    <x:row r="206" ht="58" customHeight="1">
      <x:c r="A206" s="43" t="str">
        <x:v>OP-PSY-0202</x:v>
      </x:c>
      <x:c r="B206" s="43" t="str">
        <x:v>PSY-068</x:v>
      </x:c>
      <x:c r="C206" s="43" t="str">
        <x:v>Memory Confidence</x:v>
      </x:c>
      <x:c r="D206" s="43" t="str">
        <x:v>Construct-specific assessment: Confidence rating</x:v>
      </x:c>
      <x:c r="E206" s="43" t="str">
        <x:v>Self-report / assessment</x:v>
      </x:c>
      <x:c r="F206" s="43" t="str">
        <x:v>0–100% confidence; low–high certainty</x:v>
      </x:c>
      <x:c r="G206" s="43" t="str">
        <x:v>Moderate</x:v>
      </x:c>
      <x:c r="H206" s="43" t="str">
        <x:v>Accessible or familiar information may be inaccurate; observed recall depends on cues and does not fully reveal stored representation. Use behavior-, target-, and time-specific wording and report reliability and invariance where relevant.</x:v>
      </x:c>
      <x:c r="I206" s="43" t="str">
        <x:v>SRC169; SRC184</x:v>
      </x:c>
    </x:row>
    <x:row r="207" ht="58" customHeight="1">
      <x:c r="A207" s="43" t="str">
        <x:v>OP-PSY-0203</x:v>
      </x:c>
      <x:c r="B207" s="43" t="str">
        <x:v>PSY-068</x:v>
      </x:c>
      <x:c r="C207" s="43" t="str">
        <x:v>Memory Confidence</x:v>
      </x:c>
      <x:c r="D207" s="43" t="str">
        <x:v>Behavioral or scenario-based indicator: confidence–accuracy calibration</x:v>
      </x:c>
      <x:c r="E207" s="43" t="str">
        <x:v>Behavioral / clinical assessment</x:v>
      </x:c>
      <x:c r="F207" s="43" t="str">
        <x:v>0–100% confidence; low–high certainty</x:v>
      </x:c>
      <x:c r="G207" s="43" t="str">
        <x:v>Moderate</x:v>
      </x:c>
      <x:c r="H207" s="43" t="str">
        <x:v>Accessible or familiar information may be inaccurate; observed recall depends on cues and does not fully reveal stored representation. Behavioral manifestations are conditional and should be triangulated with construct-specific assessment.</x:v>
      </x:c>
      <x:c r="I207" s="43" t="str">
        <x:v>SRC169; SRC184</x:v>
      </x:c>
    </x:row>
    <x:row r="208" ht="58" customHeight="1">
      <x:c r="A208" s="43" t="str">
        <x:v>OP-PSY-0204</x:v>
      </x:c>
      <x:c r="B208" s="43" t="str">
        <x:v>PSY-068</x:v>
      </x:c>
      <x:c r="C208" s="43" t="str">
        <x:v>Memory Confidence</x:v>
      </x:c>
      <x:c r="D208" s="43" t="str">
        <x:v>Structured scenario or expert-coded elicitation for Memory Confidence</x:v>
      </x:c>
      <x:c r="E208" s="43" t="str">
        <x:v>Expert elicitation</x:v>
      </x:c>
      <x:c r="F208" s="43" t="str">
        <x:v>Anchored ordinal or continuous judgment with documented rubric</x:v>
      </x:c>
      <x:c r="G208" s="43" t="str">
        <x:v>Moderate</x:v>
      </x:c>
      <x:c r="H208" s="43" t="str">
        <x:v>Accessible or familiar information may be inaccurate; observed recall depends on cues and does not fully reveal stored representation. Expert inference should use multiple raters, explicit uncertainty, and evidence independent of the target outcome.</x:v>
      </x:c>
      <x:c r="I208" s="43" t="str">
        <x:v>SRC169; SRC184</x:v>
      </x:c>
    </x:row>
    <x:row r="209" ht="58" customHeight="1">
      <x:c r="A209" s="43" t="str">
        <x:v>OP-PSY-0205</x:v>
      </x:c>
      <x:c r="B209" s="43" t="str">
        <x:v>PSY-069</x:v>
      </x:c>
      <x:c r="C209" s="43" t="str">
        <x:v>Prior-Belief Congruence</x:v>
      </x:c>
      <x:c r="D209" s="43" t="str">
        <x:v>Construct-specific assessment: Congruence rating</x:v>
      </x:c>
      <x:c r="E209" s="43" t="str">
        <x:v>Self-report / assessment</x:v>
      </x:c>
      <x:c r="F209" s="43" t="str">
        <x:v>Strongly inconsistent–neutral–strongly consistent</x:v>
      </x:c>
      <x:c r="G209" s="43" t="str">
        <x:v>Moderate</x:v>
      </x:c>
      <x:c r="H209" s="43" t="str">
        <x:v>Accessible or familiar information may be inaccurate; observed recall depends on cues and does not fully reveal stored representation. Use behavior-, target-, and time-specific wording and report reliability and invariance where relevant.</x:v>
      </x:c>
      <x:c r="I209" s="43" t="str">
        <x:v>SRC153; SRC117</x:v>
      </x:c>
    </x:row>
    <x:row r="210" ht="58" customHeight="1">
      <x:c r="A210" s="43" t="str">
        <x:v>OP-PSY-0206</x:v>
      </x:c>
      <x:c r="B210" s="43" t="str">
        <x:v>PSY-069</x:v>
      </x:c>
      <x:c r="C210" s="43" t="str">
        <x:v>Prior-Belief Congruence</x:v>
      </x:c>
      <x:c r="D210" s="43" t="str">
        <x:v>Behavioral or scenario-based indicator: selective recall</x:v>
      </x:c>
      <x:c r="E210" s="43" t="str">
        <x:v>Behavioral / clinical assessment</x:v>
      </x:c>
      <x:c r="F210" s="43" t="str">
        <x:v>Strongly inconsistent–neutral–strongly consistent</x:v>
      </x:c>
      <x:c r="G210" s="43" t="str">
        <x:v>Moderate</x:v>
      </x:c>
      <x:c r="H210" s="43" t="str">
        <x:v>Accessible or familiar information may be inaccurate; observed recall depends on cues and does not fully reveal stored representation. Behavioral manifestations are conditional and should be triangulated with construct-specific assessment.</x:v>
      </x:c>
      <x:c r="I210" s="43" t="str">
        <x:v>SRC153; SRC117</x:v>
      </x:c>
    </x:row>
    <x:row r="211" ht="58" customHeight="1">
      <x:c r="A211" s="43" t="str">
        <x:v>OP-PSY-0207</x:v>
      </x:c>
      <x:c r="B211" s="43" t="str">
        <x:v>PSY-069</x:v>
      </x:c>
      <x:c r="C211" s="43" t="str">
        <x:v>Prior-Belief Congruence</x:v>
      </x:c>
      <x:c r="D211" s="43" t="str">
        <x:v>Structured scenario or expert-coded elicitation for Prior-Belief Congruence</x:v>
      </x:c>
      <x:c r="E211" s="43" t="str">
        <x:v>Expert elicitation</x:v>
      </x:c>
      <x:c r="F211" s="43" t="str">
        <x:v>Anchored ordinal or continuous judgment with documented rubric</x:v>
      </x:c>
      <x:c r="G211" s="43" t="str">
        <x:v>Moderate</x:v>
      </x:c>
      <x:c r="H211" s="43" t="str">
        <x:v>Accessible or familiar information may be inaccurate; observed recall depends on cues and does not fully reveal stored representation. Expert inference should use multiple raters, explicit uncertainty, and evidence independent of the target outcome.</x:v>
      </x:c>
      <x:c r="I211" s="43" t="str">
        <x:v>SRC153; SRC117</x:v>
      </x:c>
    </x:row>
    <x:row r="212" ht="58" customHeight="1">
      <x:c r="A212" s="43" t="str">
        <x:v>OP-PSY-0208</x:v>
      </x:c>
      <x:c r="B212" s="43" t="str">
        <x:v>PSY-070</x:v>
      </x:c>
      <x:c r="C212" s="43" t="str">
        <x:v>Habit Strength</x:v>
      </x:c>
      <x:c r="D212" s="43" t="str">
        <x:v>Construct-specific assessment: Self-report habit index</x:v>
      </x:c>
      <x:c r="E212" s="43" t="str">
        <x:v>Self-report / assessment</x:v>
      </x:c>
      <x:c r="F212" s="43" t="str">
        <x:v>Low–high habit-strength composite; context-specific index</x:v>
      </x:c>
      <x:c r="G212" s="43" t="str">
        <x:v>Moderate</x:v>
      </x:c>
      <x:c r="H212" s="43" t="str">
        <x:v>Frequency, habit, automaticity, and cue association are related but not identical; self-report may not capture automatic processes well. Use behavior-, target-, and time-specific wording and report reliability and invariance where relevant.</x:v>
      </x:c>
      <x:c r="I212" s="43" t="str">
        <x:v>SRC116; SRC154</x:v>
      </x:c>
    </x:row>
    <x:row r="213" ht="58" customHeight="1">
      <x:c r="A213" s="43" t="str">
        <x:v>OP-PSY-0209</x:v>
      </x:c>
      <x:c r="B213" s="43" t="str">
        <x:v>PSY-070</x:v>
      </x:c>
      <x:c r="C213" s="43" t="str">
        <x:v>Habit Strength</x:v>
      </x:c>
      <x:c r="D213" s="43" t="str">
        <x:v>Context-linked behavioral trace: context-linked repetition</x:v>
      </x:c>
      <x:c r="E213" s="43" t="str">
        <x:v>Administrative / archival</x:v>
      </x:c>
      <x:c r="F213" s="43" t="str">
        <x:v>Repeated behavior-by-context trace or event sequence</x:v>
      </x:c>
      <x:c r="G213" s="43" t="str">
        <x:v>Moderate</x:v>
      </x:c>
      <x:c r="H213" s="43" t="str">
        <x:v>Frequency, habit, automaticity, and cue association are related but not identical; self-report may not capture automatic processes well. Trace data require valid cue and opportunity information and do not reveal subjective experience directly.</x:v>
      </x:c>
      <x:c r="I213" s="43" t="str">
        <x:v>SRC116; SRC154</x:v>
      </x:c>
    </x:row>
    <x:row r="214" ht="58" customHeight="1">
      <x:c r="A214" s="43" t="str">
        <x:v>OP-PSY-0210</x:v>
      </x:c>
      <x:c r="B214" s="43" t="str">
        <x:v>PSY-070</x:v>
      </x:c>
      <x:c r="C214" s="43" t="str">
        <x:v>Habit Strength</x:v>
      </x:c>
      <x:c r="D214" s="43" t="str">
        <x:v>Repeated choice or performance model for Habit Strength</x:v>
      </x:c>
      <x:c r="E214" s="43" t="str">
        <x:v>Behavioral / clinical assessment</x:v>
      </x:c>
      <x:c r="F214" s="43" t="str">
        <x:v>Repeated trials, longitudinal estimate, or fitted parameter</x:v>
      </x:c>
      <x:c r="G214" s="43" t="str">
        <x:v>Moderate</x:v>
      </x:c>
      <x:c r="H214" s="43" t="str">
        <x:v>Frequency, habit, automaticity, and cue association are related but not identical; self-report may not capture automatic processes well. Model fit and out-of-sample stability should be reported.</x:v>
      </x:c>
      <x:c r="I214" s="43" t="str">
        <x:v>SRC116; SRC154</x:v>
      </x:c>
    </x:row>
    <x:row r="215" ht="58" customHeight="1">
      <x:c r="A215" s="43" t="str">
        <x:v>OP-PSY-0211</x:v>
      </x:c>
      <x:c r="B215" s="43" t="str">
        <x:v>PSY-071</x:v>
      </x:c>
      <x:c r="C215" s="43" t="str">
        <x:v>Behavioral Automaticity</x:v>
      </x:c>
      <x:c r="D215" s="43" t="str">
        <x:v>Construct-specific assessment: Fast initiation</x:v>
      </x:c>
      <x:c r="E215" s="43" t="str">
        <x:v>Self-report / assessment</x:v>
      </x:c>
      <x:c r="F215" s="43" t="str">
        <x:v>Automaticity subscales; latency/interference indicators</x:v>
      </x:c>
      <x:c r="G215" s="43" t="str">
        <x:v>Moderate</x:v>
      </x:c>
      <x:c r="H215" s="43" t="str">
        <x:v>Frequency, habit, automaticity, and cue association are related but not identical; self-report may not capture automatic processes well. Use behavior-, target-, and time-specific wording and report reliability and invariance where relevant.</x:v>
      </x:c>
      <x:c r="I215" s="43" t="str">
        <x:v>SRC116; SRC154</x:v>
      </x:c>
    </x:row>
    <x:row r="216" ht="58" customHeight="1">
      <x:c r="A216" s="43" t="str">
        <x:v>OP-PSY-0212</x:v>
      </x:c>
      <x:c r="B216" s="43" t="str">
        <x:v>PSY-071</x:v>
      </x:c>
      <x:c r="C216" s="43" t="str">
        <x:v>Behavioral Automaticity</x:v>
      </x:c>
      <x:c r="D216" s="43" t="str">
        <x:v>Context-linked behavioral trace: low reported awareness or effort</x:v>
      </x:c>
      <x:c r="E216" s="43" t="str">
        <x:v>Administrative / archival</x:v>
      </x:c>
      <x:c r="F216" s="43" t="str">
        <x:v>Repeated behavior-by-context trace or event sequence</x:v>
      </x:c>
      <x:c r="G216" s="43" t="str">
        <x:v>Moderate</x:v>
      </x:c>
      <x:c r="H216" s="43" t="str">
        <x:v>Frequency, habit, automaticity, and cue association are related but not identical; self-report may not capture automatic processes well. Trace data require valid cue and opportunity information and do not reveal subjective experience directly.</x:v>
      </x:c>
      <x:c r="I216" s="43" t="str">
        <x:v>SRC116; SRC154</x:v>
      </x:c>
    </x:row>
    <x:row r="217" ht="58" customHeight="1">
      <x:c r="A217" s="43" t="str">
        <x:v>OP-PSY-0213</x:v>
      </x:c>
      <x:c r="B217" s="43" t="str">
        <x:v>PSY-071</x:v>
      </x:c>
      <x:c r="C217" s="43" t="str">
        <x:v>Behavioral Automaticity</x:v>
      </x:c>
      <x:c r="D217" s="43" t="str">
        <x:v>Repeated choice or performance model for Behavioral Automaticity</x:v>
      </x:c>
      <x:c r="E217" s="43" t="str">
        <x:v>Behavioral / clinical assessment</x:v>
      </x:c>
      <x:c r="F217" s="43" t="str">
        <x:v>Repeated trials, longitudinal estimate, or fitted parameter</x:v>
      </x:c>
      <x:c r="G217" s="43" t="str">
        <x:v>Moderate</x:v>
      </x:c>
      <x:c r="H217" s="43" t="str">
        <x:v>Frequency, habit, automaticity, and cue association are related but not identical; self-report may not capture automatic processes well. Model fit and out-of-sample stability should be reported.</x:v>
      </x:c>
      <x:c r="I217" s="43" t="str">
        <x:v>SRC116; SRC154</x:v>
      </x:c>
    </x:row>
    <x:row r="218" ht="58" customHeight="1">
      <x:c r="A218" s="43" t="str">
        <x:v>OP-PSY-0214</x:v>
      </x:c>
      <x:c r="B218" s="43" t="str">
        <x:v>PSY-072</x:v>
      </x:c>
      <x:c r="C218" s="43" t="str">
        <x:v>Cue–Response Association Strength</x:v>
      </x:c>
      <x:c r="D218" s="43" t="str">
        <x:v>Construct-specific assessment: Priming effect</x:v>
      </x:c>
      <x:c r="E218" s="43" t="str">
        <x:v>Self-report / assessment</x:v>
      </x:c>
      <x:c r="F218" s="43" t="str">
        <x:v>Low–high association; reaction-time or priming index</x:v>
      </x:c>
      <x:c r="G218" s="43" t="str">
        <x:v>Moderate</x:v>
      </x:c>
      <x:c r="H218" s="43" t="str">
        <x:v>Frequency, habit, automaticity, and cue association are related but not identical; self-report may not capture automatic processes well. Use behavior-, target-, and time-specific wording and report reliability and invariance where relevant.</x:v>
      </x:c>
      <x:c r="I218" s="43" t="str">
        <x:v>SRC120; SRC116</x:v>
      </x:c>
    </x:row>
    <x:row r="219" ht="58" customHeight="1">
      <x:c r="A219" s="43" t="str">
        <x:v>OP-PSY-0215</x:v>
      </x:c>
      <x:c r="B219" s="43" t="str">
        <x:v>PSY-072</x:v>
      </x:c>
      <x:c r="C219" s="43" t="str">
        <x:v>Cue–Response Association Strength</x:v>
      </x:c>
      <x:c r="D219" s="43" t="str">
        <x:v>Context-linked behavioral trace: response latency</x:v>
      </x:c>
      <x:c r="E219" s="43" t="str">
        <x:v>Administrative / archival</x:v>
      </x:c>
      <x:c r="F219" s="43" t="str">
        <x:v>Repeated behavior-by-context trace or event sequence</x:v>
      </x:c>
      <x:c r="G219" s="43" t="str">
        <x:v>Moderate</x:v>
      </x:c>
      <x:c r="H219" s="43" t="str">
        <x:v>Frequency, habit, automaticity, and cue association are related but not identical; self-report may not capture automatic processes well. Trace data require valid cue and opportunity information and do not reveal subjective experience directly.</x:v>
      </x:c>
      <x:c r="I219" s="43" t="str">
        <x:v>SRC120; SRC116</x:v>
      </x:c>
    </x:row>
    <x:row r="220" ht="58" customHeight="1">
      <x:c r="A220" s="43" t="str">
        <x:v>OP-PSY-0216</x:v>
      </x:c>
      <x:c r="B220" s="43" t="str">
        <x:v>PSY-072</x:v>
      </x:c>
      <x:c r="C220" s="43" t="str">
        <x:v>Cue–Response Association Strength</x:v>
      </x:c>
      <x:c r="D220" s="43" t="str">
        <x:v>Repeated choice or performance model for Cue–Response Association Strength</x:v>
      </x:c>
      <x:c r="E220" s="43" t="str">
        <x:v>Behavioral / clinical assessment</x:v>
      </x:c>
      <x:c r="F220" s="43" t="str">
        <x:v>Repeated trials, longitudinal estimate, or fitted parameter</x:v>
      </x:c>
      <x:c r="G220" s="43" t="str">
        <x:v>Moderate</x:v>
      </x:c>
      <x:c r="H220" s="43" t="str">
        <x:v>Frequency, habit, automaticity, and cue association are related but not identical; self-report may not capture automatic processes well. Model fit and out-of-sample stability should be reported.</x:v>
      </x:c>
      <x:c r="I220" s="43" t="str">
        <x:v>SRC120; SRC116</x:v>
      </x:c>
    </x:row>
    <x:row r="221" ht="58" customHeight="1">
      <x:c r="A221" s="43" t="str">
        <x:v>OP-PSY-0217</x:v>
      </x:c>
      <x:c r="B221" s="43" t="str">
        <x:v>PSY-073</x:v>
      </x:c>
      <x:c r="C221" s="43" t="str">
        <x:v>Reinforcement Expectancy</x:v>
      </x:c>
      <x:c r="D221" s="43" t="str">
        <x:v>Construct-specific assessment: Reward expectation</x:v>
      </x:c>
      <x:c r="E221" s="43" t="str">
        <x:v>Self-report / assessment</x:v>
      </x:c>
      <x:c r="F221" s="43" t="str">
        <x:v>Expected probability × subjective value; contingency rating</x:v>
      </x:c>
      <x:c r="G221" s="43" t="str">
        <x:v>Moderate</x:v>
      </x:c>
      <x:c r="H221" s="43" t="str">
        <x:v>Frequency, habit, automaticity, and cue association are related but not identical; self-report may not capture automatic processes well. Use behavior-, target-, and time-specific wording and report reliability and invariance where relevant.</x:v>
      </x:c>
      <x:c r="I221" s="43" t="str">
        <x:v>SRC109; SRC111</x:v>
      </x:c>
    </x:row>
    <x:row r="222" ht="58" customHeight="1">
      <x:c r="A222" s="43" t="str">
        <x:v>OP-PSY-0218</x:v>
      </x:c>
      <x:c r="B222" s="43" t="str">
        <x:v>PSY-073</x:v>
      </x:c>
      <x:c r="C222" s="43" t="str">
        <x:v>Reinforcement Expectancy</x:v>
      </x:c>
      <x:c r="D222" s="43" t="str">
        <x:v>Context-linked behavioral trace: choice under learned contingencies</x:v>
      </x:c>
      <x:c r="E222" s="43" t="str">
        <x:v>Administrative / archival</x:v>
      </x:c>
      <x:c r="F222" s="43" t="str">
        <x:v>Repeated behavior-by-context trace or event sequence</x:v>
      </x:c>
      <x:c r="G222" s="43" t="str">
        <x:v>Moderate</x:v>
      </x:c>
      <x:c r="H222" s="43" t="str">
        <x:v>Frequency, habit, automaticity, and cue association are related but not identical; self-report may not capture automatic processes well. Trace data require valid cue and opportunity information and do not reveal subjective experience directly.</x:v>
      </x:c>
      <x:c r="I222" s="43" t="str">
        <x:v>SRC109; SRC111</x:v>
      </x:c>
    </x:row>
    <x:row r="223" ht="58" customHeight="1">
      <x:c r="A223" s="43" t="str">
        <x:v>OP-PSY-0219</x:v>
      </x:c>
      <x:c r="B223" s="43" t="str">
        <x:v>PSY-073</x:v>
      </x:c>
      <x:c r="C223" s="43" t="str">
        <x:v>Reinforcement Expectancy</x:v>
      </x:c>
      <x:c r="D223" s="43" t="str">
        <x:v>Repeated choice or performance model for Reinforcement Expectancy</x:v>
      </x:c>
      <x:c r="E223" s="43" t="str">
        <x:v>Behavioral / clinical assessment</x:v>
      </x:c>
      <x:c r="F223" s="43" t="str">
        <x:v>Repeated trials, longitudinal estimate, or fitted parameter</x:v>
      </x:c>
      <x:c r="G223" s="43" t="str">
        <x:v>Moderate</x:v>
      </x:c>
      <x:c r="H223" s="43" t="str">
        <x:v>Frequency, habit, automaticity, and cue association are related but not identical; self-report may not capture automatic processes well. Model fit and out-of-sample stability should be reported.</x:v>
      </x:c>
      <x:c r="I223" s="43" t="str">
        <x:v>SRC109; SRC111</x:v>
      </x:c>
    </x:row>
    <x:row r="224" ht="58" customHeight="1">
      <x:c r="A224" s="43" t="str">
        <x:v>OP-PSY-0220</x:v>
      </x:c>
      <x:c r="B224" s="43" t="str">
        <x:v>PSY-074</x:v>
      </x:c>
      <x:c r="C224" s="43" t="str">
        <x:v>Observationally Learned Expectancy</x:v>
      </x:c>
      <x:c r="D224" s="43" t="str">
        <x:v>Construct-specific assessment: Prediction after modeling</x:v>
      </x:c>
      <x:c r="E224" s="43" t="str">
        <x:v>Self-report / assessment</x:v>
      </x:c>
      <x:c r="F224" s="43" t="str">
        <x:v>0–1 expected outcome probability after modeled exposure</x:v>
      </x:c>
      <x:c r="G224" s="43" t="str">
        <x:v>Moderate</x:v>
      </x:c>
      <x:c r="H224" s="43" t="str">
        <x:v>Frequency, habit, automaticity, and cue association are related but not identical; self-report may not capture automatic processes well. Use behavior-, target-, and time-specific wording and report reliability and invariance where relevant.</x:v>
      </x:c>
      <x:c r="I224" s="43" t="str">
        <x:v>SRC111; SRC109</x:v>
      </x:c>
    </x:row>
    <x:row r="225" ht="58" customHeight="1">
      <x:c r="A225" s="43" t="str">
        <x:v>OP-PSY-0221</x:v>
      </x:c>
      <x:c r="B225" s="43" t="str">
        <x:v>PSY-074</x:v>
      </x:c>
      <x:c r="C225" s="43" t="str">
        <x:v>Observationally Learned Expectancy</x:v>
      </x:c>
      <x:c r="D225" s="43" t="str">
        <x:v>Context-linked behavioral trace: imitation choice</x:v>
      </x:c>
      <x:c r="E225" s="43" t="str">
        <x:v>Administrative / archival</x:v>
      </x:c>
      <x:c r="F225" s="43" t="str">
        <x:v>Repeated behavior-by-context trace or event sequence</x:v>
      </x:c>
      <x:c r="G225" s="43" t="str">
        <x:v>Moderate</x:v>
      </x:c>
      <x:c r="H225" s="43" t="str">
        <x:v>Frequency, habit, automaticity, and cue association are related but not identical; self-report may not capture automatic processes well. Trace data require valid cue and opportunity information and do not reveal subjective experience directly.</x:v>
      </x:c>
      <x:c r="I225" s="43" t="str">
        <x:v>SRC111; SRC109</x:v>
      </x:c>
    </x:row>
    <x:row r="226" ht="58" customHeight="1">
      <x:c r="A226" s="43" t="str">
        <x:v>OP-PSY-0222</x:v>
      </x:c>
      <x:c r="B226" s="43" t="str">
        <x:v>PSY-074</x:v>
      </x:c>
      <x:c r="C226" s="43" t="str">
        <x:v>Observationally Learned Expectancy</x:v>
      </x:c>
      <x:c r="D226" s="43" t="str">
        <x:v>Repeated choice or performance model for Observationally Learned Expectancy</x:v>
      </x:c>
      <x:c r="E226" s="43" t="str">
        <x:v>Behavioral / clinical assessment</x:v>
      </x:c>
      <x:c r="F226" s="43" t="str">
        <x:v>Repeated trials, longitudinal estimate, or fitted parameter</x:v>
      </x:c>
      <x:c r="G226" s="43" t="str">
        <x:v>Moderate</x:v>
      </x:c>
      <x:c r="H226" s="43" t="str">
        <x:v>Frequency, habit, automaticity, and cue association are related but not identical; self-report may not capture automatic processes well. Model fit and out-of-sample stability should be reported.</x:v>
      </x:c>
      <x:c r="I226" s="43" t="str">
        <x:v>SRC111; SRC109</x:v>
      </x:c>
    </x:row>
    <x:row r="227" ht="58" customHeight="1">
      <x:c r="A227" s="43" t="str">
        <x:v>OP-PSY-0223</x:v>
      </x:c>
      <x:c r="B227" s="43" t="str">
        <x:v>PSY-075</x:v>
      </x:c>
      <x:c r="C227" s="43" t="str">
        <x:v>Implementation Intention Strength</x:v>
      </x:c>
      <x:c r="D227" s="43" t="str">
        <x:v>Construct-specific assessment: If–then plan presence</x:v>
      </x:c>
      <x:c r="E227" s="43" t="str">
        <x:v>Self-report / assessment</x:v>
      </x:c>
      <x:c r="F227" s="43" t="str">
        <x:v>Absent–strong if–then commitment; plan-quality rating</x:v>
      </x:c>
      <x:c r="G227" s="43" t="str">
        <x:v>Moderate</x:v>
      </x:c>
      <x:c r="H227" s="43" t="str">
        <x:v>Performance tasks and self-report capture different facets; capacity can be distinguished from momentary deployment and opportunity. Use behavior-, target-, and time-specific wording and report reliability and invariance where relevant.</x:v>
      </x:c>
      <x:c r="I227" s="43" t="str">
        <x:v>SRC114; SRC120; SRC155</x:v>
      </x:c>
    </x:row>
    <x:row r="228" ht="58" customHeight="1">
      <x:c r="A228" s="43" t="str">
        <x:v>OP-PSY-0224</x:v>
      </x:c>
      <x:c r="B228" s="43" t="str">
        <x:v>PSY-075</x:v>
      </x:c>
      <x:c r="C228" s="43" t="str">
        <x:v>Implementation Intention Strength</x:v>
      </x:c>
      <x:c r="D228" s="43" t="str">
        <x:v>Standardized task or scenario indicator: cue recognition</x:v>
      </x:c>
      <x:c r="E228" s="43" t="str">
        <x:v>Behavioral / clinical assessment</x:v>
      </x:c>
      <x:c r="F228" s="43" t="str">
        <x:v>Absent–strong if–then commitment; plan-quality rating</x:v>
      </x:c>
      <x:c r="G228" s="43" t="str">
        <x:v>Moderate</x:v>
      </x:c>
      <x:c r="H228" s="43" t="str">
        <x:v>Performance tasks and self-report capture different facets; capacity can be distinguished from momentary deployment and opportunity. Task performance is an indicator and should not be treated as a pure one-to-one measure.</x:v>
      </x:c>
      <x:c r="I228" s="43" t="str">
        <x:v>SRC114; SRC120; SRC155</x:v>
      </x:c>
    </x:row>
    <x:row r="229" ht="58" customHeight="1">
      <x:c r="A229" s="43" t="str">
        <x:v>OP-PSY-0225</x:v>
      </x:c>
      <x:c r="B229" s="43" t="str">
        <x:v>PSY-075</x:v>
      </x:c>
      <x:c r="C229" s="43" t="str">
        <x:v>Implementation Intention Strength</x:v>
      </x:c>
      <x:c r="D229" s="43" t="str">
        <x:v>Repeated choice or performance model for Implementation Intention Strength</x:v>
      </x:c>
      <x:c r="E229" s="43" t="str">
        <x:v>Behavioral / clinical assessment</x:v>
      </x:c>
      <x:c r="F229" s="43" t="str">
        <x:v>Repeated trials, longitudinal estimate, or fitted parameter</x:v>
      </x:c>
      <x:c r="G229" s="43" t="str">
        <x:v>Moderate</x:v>
      </x:c>
      <x:c r="H229" s="43" t="str">
        <x:v>Performance tasks and self-report capture different facets; capacity can be distinguished from momentary deployment and opportunity. Model fit and out-of-sample stability should be reported.</x:v>
      </x:c>
      <x:c r="I229" s="43" t="str">
        <x:v>SRC114; SRC120; SRC155</x:v>
      </x:c>
    </x:row>
    <x:row r="230" ht="58" customHeight="1">
      <x:c r="A230" s="43" t="str">
        <x:v>OP-PSY-0226</x:v>
      </x:c>
      <x:c r="B230" s="43" t="str">
        <x:v>PSY-076</x:v>
      </x:c>
      <x:c r="C230" s="43" t="str">
        <x:v>Action Plan Specificity</x:v>
      </x:c>
      <x:c r="D230" s="43" t="str">
        <x:v>Construct-specific assessment: Named action/time/place</x:v>
      </x:c>
      <x:c r="E230" s="43" t="str">
        <x:v>Self-report / assessment</x:v>
      </x:c>
      <x:c r="F230" s="43" t="str">
        <x:v>Vague–specific; coded completeness of action elements</x:v>
      </x:c>
      <x:c r="G230" s="43" t="str">
        <x:v>Moderate</x:v>
      </x:c>
      <x:c r="H230" s="43" t="str">
        <x:v>Performance tasks and self-report capture different facets; capacity can be distinguished from momentary deployment and opportunity. Use behavior-, target-, and time-specific wording and report reliability and invariance where relevant.</x:v>
      </x:c>
      <x:c r="I230" s="43" t="str">
        <x:v>SRC114; SRC155</x:v>
      </x:c>
    </x:row>
    <x:row r="231" ht="58" customHeight="1">
      <x:c r="A231" s="43" t="str">
        <x:v>OP-PSY-0227</x:v>
      </x:c>
      <x:c r="B231" s="43" t="str">
        <x:v>PSY-076</x:v>
      </x:c>
      <x:c r="C231" s="43" t="str">
        <x:v>Action Plan Specificity</x:v>
      </x:c>
      <x:c r="D231" s="43" t="str">
        <x:v>Standardized task or scenario indicator: resource preparation</x:v>
      </x:c>
      <x:c r="E231" s="43" t="str">
        <x:v>Behavioral / clinical assessment</x:v>
      </x:c>
      <x:c r="F231" s="43" t="str">
        <x:v>Vague–specific; coded completeness of action elements</x:v>
      </x:c>
      <x:c r="G231" s="43" t="str">
        <x:v>Moderate</x:v>
      </x:c>
      <x:c r="H231" s="43" t="str">
        <x:v>Performance tasks and self-report capture different facets; capacity can be distinguished from momentary deployment and opportunity. Task performance is an indicator and should not be treated as a pure one-to-one measure.</x:v>
      </x:c>
      <x:c r="I231" s="43" t="str">
        <x:v>SRC114; SRC155</x:v>
      </x:c>
    </x:row>
    <x:row r="232" ht="58" customHeight="1">
      <x:c r="A232" s="43" t="str">
        <x:v>OP-PSY-0228</x:v>
      </x:c>
      <x:c r="B232" s="43" t="str">
        <x:v>PSY-076</x:v>
      </x:c>
      <x:c r="C232" s="43" t="str">
        <x:v>Action Plan Specificity</x:v>
      </x:c>
      <x:c r="D232" s="43" t="str">
        <x:v>Repeated choice or performance model for Action Plan Specificity</x:v>
      </x:c>
      <x:c r="E232" s="43" t="str">
        <x:v>Behavioral / clinical assessment</x:v>
      </x:c>
      <x:c r="F232" s="43" t="str">
        <x:v>Repeated trials, longitudinal estimate, or fitted parameter</x:v>
      </x:c>
      <x:c r="G232" s="43" t="str">
        <x:v>Moderate</x:v>
      </x:c>
      <x:c r="H232" s="43" t="str">
        <x:v>Performance tasks and self-report capture different facets; capacity can be distinguished from momentary deployment and opportunity. Model fit and out-of-sample stability should be reported.</x:v>
      </x:c>
      <x:c r="I232" s="43" t="str">
        <x:v>SRC114; SRC155</x:v>
      </x:c>
    </x:row>
    <x:row r="233" ht="58" customHeight="1">
      <x:c r="A233" s="43" t="str">
        <x:v>OP-PSY-0229</x:v>
      </x:c>
      <x:c r="B233" s="43" t="str">
        <x:v>PSY-077</x:v>
      </x:c>
      <x:c r="C233" s="43" t="str">
        <x:v>Self-Monitoring Intensity</x:v>
      </x:c>
      <x:c r="D233" s="43" t="str">
        <x:v>Construct-specific assessment: Tracking frequency</x:v>
      </x:c>
      <x:c r="E233" s="43" t="str">
        <x:v>Self-report / assessment</x:v>
      </x:c>
      <x:c r="F233" s="43" t="str">
        <x:v>Checks per period; low–high monitoring frequency/intensity</x:v>
      </x:c>
      <x:c r="G233" s="43" t="str">
        <x:v>Moderate</x:v>
      </x:c>
      <x:c r="H233" s="43" t="str">
        <x:v>Performance tasks and self-report capture different facets; capacity can be distinguished from momentary deployment and opportunity. Use behavior-, target-, and time-specific wording and report reliability and invariance where relevant.</x:v>
      </x:c>
      <x:c r="I233" s="43" t="str">
        <x:v>SRC139; SRC109</x:v>
      </x:c>
    </x:row>
    <x:row r="234" ht="58" customHeight="1">
      <x:c r="A234" s="43" t="str">
        <x:v>OP-PSY-0230</x:v>
      </x:c>
      <x:c r="B234" s="43" t="str">
        <x:v>PSY-077</x:v>
      </x:c>
      <x:c r="C234" s="43" t="str">
        <x:v>Self-Monitoring Intensity</x:v>
      </x:c>
      <x:c r="D234" s="43" t="str">
        <x:v>Standardized task or scenario indicator: recorded progress</x:v>
      </x:c>
      <x:c r="E234" s="43" t="str">
        <x:v>Behavioral / clinical assessment</x:v>
      </x:c>
      <x:c r="F234" s="43" t="str">
        <x:v>Checks per period; low–high monitoring frequency/intensity</x:v>
      </x:c>
      <x:c r="G234" s="43" t="str">
        <x:v>Moderate</x:v>
      </x:c>
      <x:c r="H234" s="43" t="str">
        <x:v>Performance tasks and self-report capture different facets; capacity can be distinguished from momentary deployment and opportunity. Task performance is an indicator and should not be treated as a pure one-to-one measure.</x:v>
      </x:c>
      <x:c r="I234" s="43" t="str">
        <x:v>SRC139; SRC109</x:v>
      </x:c>
    </x:row>
    <x:row r="235" ht="58" customHeight="1">
      <x:c r="A235" s="43" t="str">
        <x:v>OP-PSY-0231</x:v>
      </x:c>
      <x:c r="B235" s="43" t="str">
        <x:v>PSY-077</x:v>
      </x:c>
      <x:c r="C235" s="43" t="str">
        <x:v>Self-Monitoring Intensity</x:v>
      </x:c>
      <x:c r="D235" s="43" t="str">
        <x:v>Repeated choice or performance model for Self-Monitoring Intensity</x:v>
      </x:c>
      <x:c r="E235" s="43" t="str">
        <x:v>Behavioral / clinical assessment</x:v>
      </x:c>
      <x:c r="F235" s="43" t="str">
        <x:v>Repeated trials, longitudinal estimate, or fitted parameter</x:v>
      </x:c>
      <x:c r="G235" s="43" t="str">
        <x:v>Moderate</x:v>
      </x:c>
      <x:c r="H235" s="43" t="str">
        <x:v>Performance tasks and self-report capture different facets; capacity can be distinguished from momentary deployment and opportunity. Model fit and out-of-sample stability should be reported.</x:v>
      </x:c>
      <x:c r="I235" s="43" t="str">
        <x:v>SRC139; SRC109</x:v>
      </x:c>
    </x:row>
    <x:row r="236" ht="58" customHeight="1">
      <x:c r="A236" s="43" t="str">
        <x:v>OP-PSY-0232</x:v>
      </x:c>
      <x:c r="B236" s="43" t="str">
        <x:v>PSY-078</x:v>
      </x:c>
      <x:c r="C236" s="43" t="str">
        <x:v>Goal–State Discrepancy</x:v>
      </x:c>
      <x:c r="D236" s="43" t="str">
        <x:v>Construct-specific assessment: Target–current gap</x:v>
      </x:c>
      <x:c r="E236" s="43" t="str">
        <x:v>Self-report / assessment</x:v>
      </x:c>
      <x:c r="F236" s="43" t="str">
        <x:v>Below target–at target–above target; quantitative gap</x:v>
      </x:c>
      <x:c r="G236" s="43" t="str">
        <x:v>Moderate</x:v>
      </x:c>
      <x:c r="H236" s="43" t="str">
        <x:v>Performance tasks and self-report capture different facets; capacity can be distinguished from momentary deployment and opportunity. Use behavior-, target-, and time-specific wording and report reliability and invariance where relevant.</x:v>
      </x:c>
      <x:c r="I236" s="43" t="str">
        <x:v>SRC185; SRC118</x:v>
      </x:c>
    </x:row>
    <x:row r="237" ht="58" customHeight="1">
      <x:c r="A237" s="43" t="str">
        <x:v>OP-PSY-0233</x:v>
      </x:c>
      <x:c r="B237" s="43" t="str">
        <x:v>PSY-078</x:v>
      </x:c>
      <x:c r="C237" s="43" t="str">
        <x:v>Goal–State Discrepancy</x:v>
      </x:c>
      <x:c r="D237" s="43" t="str">
        <x:v>Standardized task or scenario indicator: corrective action</x:v>
      </x:c>
      <x:c r="E237" s="43" t="str">
        <x:v>Behavioral / clinical assessment</x:v>
      </x:c>
      <x:c r="F237" s="43" t="str">
        <x:v>Below target–at target–above target; quantitative gap</x:v>
      </x:c>
      <x:c r="G237" s="43" t="str">
        <x:v>Moderate</x:v>
      </x:c>
      <x:c r="H237" s="43" t="str">
        <x:v>Performance tasks and self-report capture different facets; capacity can be distinguished from momentary deployment and opportunity. Task performance is an indicator and should not be treated as a pure one-to-one measure.</x:v>
      </x:c>
      <x:c r="I237" s="43" t="str">
        <x:v>SRC185; SRC118</x:v>
      </x:c>
    </x:row>
    <x:row r="238" ht="58" customHeight="1">
      <x:c r="A238" s="43" t="str">
        <x:v>OP-PSY-0234</x:v>
      </x:c>
      <x:c r="B238" s="43" t="str">
        <x:v>PSY-078</x:v>
      </x:c>
      <x:c r="C238" s="43" t="str">
        <x:v>Goal–State Discrepancy</x:v>
      </x:c>
      <x:c r="D238" s="43" t="str">
        <x:v>Repeated choice or performance model for Goal–State Discrepancy</x:v>
      </x:c>
      <x:c r="E238" s="43" t="str">
        <x:v>Behavioral / clinical assessment</x:v>
      </x:c>
      <x:c r="F238" s="43" t="str">
        <x:v>Repeated trials, longitudinal estimate, or fitted parameter</x:v>
      </x:c>
      <x:c r="G238" s="43" t="str">
        <x:v>Moderate</x:v>
      </x:c>
      <x:c r="H238" s="43" t="str">
        <x:v>Performance tasks and self-report capture different facets; capacity can be distinguished from momentary deployment and opportunity. Model fit and out-of-sample stability should be reported.</x:v>
      </x:c>
      <x:c r="I238" s="43" t="str">
        <x:v>SRC185; SRC118</x:v>
      </x:c>
    </x:row>
    <x:row r="239" ht="58" customHeight="1">
      <x:c r="A239" s="43" t="str">
        <x:v>OP-PSY-0235</x:v>
      </x:c>
      <x:c r="B239" s="43" t="str">
        <x:v>PSY-079</x:v>
      </x:c>
      <x:c r="C239" s="43" t="str">
        <x:v>Emotion Regulation Capacity</x:v>
      </x:c>
      <x:c r="D239" s="43" t="str">
        <x:v>Construct-specific assessment: Regulation success</x:v>
      </x:c>
      <x:c r="E239" s="43" t="str">
        <x:v>Self-report / assessment</x:v>
      </x:c>
      <x:c r="F239" s="43" t="str">
        <x:v>Low–high capacity; strategy-success rating; task performance</x:v>
      </x:c>
      <x:c r="G239" s="43" t="str">
        <x:v>Moderate</x:v>
      </x:c>
      <x:c r="H239" s="43" t="str">
        <x:v>Performance tasks and self-report capture different facets; capacity can be distinguished from momentary deployment and opportunity. Use behavior-, target-, and time-specific wording and report reliability and invariance where relevant.</x:v>
      </x:c>
      <x:c r="I239" s="43" t="str">
        <x:v>SRC121; SRC143; SRC144</x:v>
      </x:c>
    </x:row>
    <x:row r="240" ht="58" customHeight="1">
      <x:c r="A240" s="43" t="str">
        <x:v>OP-PSY-0236</x:v>
      </x:c>
      <x:c r="B240" s="43" t="str">
        <x:v>PSY-079</x:v>
      </x:c>
      <x:c r="C240" s="43" t="str">
        <x:v>Emotion Regulation Capacity</x:v>
      </x:c>
      <x:c r="D240" s="43" t="str">
        <x:v>Standardized task or scenario indicator: strategy use</x:v>
      </x:c>
      <x:c r="E240" s="43" t="str">
        <x:v>Behavioral / clinical assessment</x:v>
      </x:c>
      <x:c r="F240" s="43" t="str">
        <x:v>Low–high capacity; strategy-success rating; task performance</x:v>
      </x:c>
      <x:c r="G240" s="43" t="str">
        <x:v>Moderate</x:v>
      </x:c>
      <x:c r="H240" s="43" t="str">
        <x:v>Performance tasks and self-report capture different facets; capacity can be distinguished from momentary deployment and opportunity. Task performance is an indicator and should not be treated as a pure one-to-one measure.</x:v>
      </x:c>
      <x:c r="I240" s="43" t="str">
        <x:v>SRC121; SRC143; SRC144</x:v>
      </x:c>
    </x:row>
    <x:row r="241" ht="58" customHeight="1">
      <x:c r="A241" s="43" t="str">
        <x:v>OP-PSY-0237</x:v>
      </x:c>
      <x:c r="B241" s="43" t="str">
        <x:v>PSY-079</x:v>
      </x:c>
      <x:c r="C241" s="43" t="str">
        <x:v>Emotion Regulation Capacity</x:v>
      </x:c>
      <x:c r="D241" s="43" t="str">
        <x:v>Repeated choice or performance model for Emotion Regulation Capacity</x:v>
      </x:c>
      <x:c r="E241" s="43" t="str">
        <x:v>Behavioral / clinical assessment</x:v>
      </x:c>
      <x:c r="F241" s="43" t="str">
        <x:v>Repeated trials, longitudinal estimate, or fitted parameter</x:v>
      </x:c>
      <x:c r="G241" s="43" t="str">
        <x:v>Moderate</x:v>
      </x:c>
      <x:c r="H241" s="43" t="str">
        <x:v>Performance tasks and self-report capture different facets; capacity can be distinguished from momentary deployment and opportunity. Model fit and out-of-sample stability should be reported.</x:v>
      </x:c>
      <x:c r="I241" s="43" t="str">
        <x:v>SRC121; SRC143; SRC144</x:v>
      </x:c>
    </x:row>
    <x:row r="242" ht="58" customHeight="1">
      <x:c r="A242" s="43" t="str">
        <x:v>OP-PSY-0238</x:v>
      </x:c>
      <x:c r="B242" s="43" t="str">
        <x:v>PSY-080</x:v>
      </x:c>
      <x:c r="C242" s="43" t="str">
        <x:v>Attentional Control Capacity</x:v>
      </x:c>
      <x:c r="D242" s="43" t="str">
        <x:v>Construct-specific assessment: Interference cost</x:v>
      </x:c>
      <x:c r="E242" s="43" t="str">
        <x:v>Self-report / assessment</x:v>
      </x:c>
      <x:c r="F242" s="43" t="str">
        <x:v>Low–high control; interference or switching performance</x:v>
      </x:c>
      <x:c r="G242" s="43" t="str">
        <x:v>Moderate</x:v>
      </x:c>
      <x:c r="H242" s="43" t="str">
        <x:v>Performance tasks and self-report capture different facets; capacity can be distinguished from momentary deployment and opportunity. Use behavior-, target-, and time-specific wording and report reliability and invariance where relevant.</x:v>
      </x:c>
      <x:c r="I242" s="43" t="str">
        <x:v>SRC148; SRC149</x:v>
      </x:c>
    </x:row>
    <x:row r="243" ht="58" customHeight="1">
      <x:c r="A243" s="43" t="str">
        <x:v>OP-PSY-0239</x:v>
      </x:c>
      <x:c r="B243" s="43" t="str">
        <x:v>PSY-080</x:v>
      </x:c>
      <x:c r="C243" s="43" t="str">
        <x:v>Attentional Control Capacity</x:v>
      </x:c>
      <x:c r="D243" s="43" t="str">
        <x:v>Standardized task or scenario indicator: sustained-attention errors</x:v>
      </x:c>
      <x:c r="E243" s="43" t="str">
        <x:v>Behavioral / clinical assessment</x:v>
      </x:c>
      <x:c r="F243" s="43" t="str">
        <x:v>Low–high control; interference or switching performance</x:v>
      </x:c>
      <x:c r="G243" s="43" t="str">
        <x:v>Moderate</x:v>
      </x:c>
      <x:c r="H243" s="43" t="str">
        <x:v>Performance tasks and self-report capture different facets; capacity can be distinguished from momentary deployment and opportunity. Task performance is an indicator and should not be treated as a pure one-to-one measure.</x:v>
      </x:c>
      <x:c r="I243" s="43" t="str">
        <x:v>SRC148; SRC149</x:v>
      </x:c>
    </x:row>
    <x:row r="244" ht="58" customHeight="1">
      <x:c r="A244" s="43" t="str">
        <x:v>OP-PSY-0240</x:v>
      </x:c>
      <x:c r="B244" s="43" t="str">
        <x:v>PSY-080</x:v>
      </x:c>
      <x:c r="C244" s="43" t="str">
        <x:v>Attentional Control Capacity</x:v>
      </x:c>
      <x:c r="D244" s="43" t="str">
        <x:v>Repeated choice or performance model for Attentional Control Capacity</x:v>
      </x:c>
      <x:c r="E244" s="43" t="str">
        <x:v>Behavioral / clinical assessment</x:v>
      </x:c>
      <x:c r="F244" s="43" t="str">
        <x:v>Repeated trials, longitudinal estimate, or fitted parameter</x:v>
      </x:c>
      <x:c r="G244" s="43" t="str">
        <x:v>Moderate</x:v>
      </x:c>
      <x:c r="H244" s="43" t="str">
        <x:v>Performance tasks and self-report capture different facets; capacity can be distinguished from momentary deployment and opportunity. Model fit and out-of-sample stability should be reported.</x:v>
      </x:c>
      <x:c r="I244" s="43" t="str">
        <x:v>SRC148; SRC149</x:v>
      </x:c>
    </x:row>
    <x:row r="245" ht="58" customHeight="1">
      <x:c r="A245" s="43" t="str">
        <x:v>OP-PSY-0241</x:v>
      </x:c>
      <x:c r="B245" s="43" t="str">
        <x:v>PSY-081</x:v>
      </x:c>
      <x:c r="C245" s="43" t="str">
        <x:v>Response Inhibition Capacity</x:v>
      </x:c>
      <x:c r="D245" s="43" t="str">
        <x:v>Construct-specific assessment: Stop-signal latency</x:v>
      </x:c>
      <x:c r="E245" s="43" t="str">
        <x:v>Self-report / assessment</x:v>
      </x:c>
      <x:c r="F245" s="43" t="str">
        <x:v>Low–high capacity; stop-signal or go/no-go performance</x:v>
      </x:c>
      <x:c r="G245" s="43" t="str">
        <x:v>Moderate</x:v>
      </x:c>
      <x:c r="H245" s="43" t="str">
        <x:v>Performance tasks and self-report capture different facets; capacity can be distinguished from momentary deployment and opportunity. Use behavior-, target-, and time-specific wording and report reliability and invariance where relevant.</x:v>
      </x:c>
      <x:c r="I245" s="43" t="str">
        <x:v>SRC149; SRC186</x:v>
      </x:c>
    </x:row>
    <x:row r="246" ht="58" customHeight="1">
      <x:c r="A246" s="43" t="str">
        <x:v>OP-PSY-0242</x:v>
      </x:c>
      <x:c r="B246" s="43" t="str">
        <x:v>PSY-081</x:v>
      </x:c>
      <x:c r="C246" s="43" t="str">
        <x:v>Response Inhibition Capacity</x:v>
      </x:c>
      <x:c r="D246" s="43" t="str">
        <x:v>Standardized task or scenario indicator: commission errors</x:v>
      </x:c>
      <x:c r="E246" s="43" t="str">
        <x:v>Behavioral / clinical assessment</x:v>
      </x:c>
      <x:c r="F246" s="43" t="str">
        <x:v>Low–high capacity; stop-signal or go/no-go performance</x:v>
      </x:c>
      <x:c r="G246" s="43" t="str">
        <x:v>Moderate</x:v>
      </x:c>
      <x:c r="H246" s="43" t="str">
        <x:v>Performance tasks and self-report capture different facets; capacity can be distinguished from momentary deployment and opportunity. Task performance is an indicator and should not be treated as a pure one-to-one measure.</x:v>
      </x:c>
      <x:c r="I246" s="43" t="str">
        <x:v>SRC149; SRC186</x:v>
      </x:c>
    </x:row>
    <x:row r="247" ht="58" customHeight="1">
      <x:c r="A247" s="43" t="str">
        <x:v>OP-PSY-0243</x:v>
      </x:c>
      <x:c r="B247" s="43" t="str">
        <x:v>PSY-081</x:v>
      </x:c>
      <x:c r="C247" s="43" t="str">
        <x:v>Response Inhibition Capacity</x:v>
      </x:c>
      <x:c r="D247" s="43" t="str">
        <x:v>Repeated choice or performance model for Response Inhibition Capacity</x:v>
      </x:c>
      <x:c r="E247" s="43" t="str">
        <x:v>Behavioral / clinical assessment</x:v>
      </x:c>
      <x:c r="F247" s="43" t="str">
        <x:v>Repeated trials, longitudinal estimate, or fitted parameter</x:v>
      </x:c>
      <x:c r="G247" s="43" t="str">
        <x:v>Moderate</x:v>
      </x:c>
      <x:c r="H247" s="43" t="str">
        <x:v>Performance tasks and self-report capture different facets; capacity can be distinguished from momentary deployment and opportunity. Model fit and out-of-sample stability should be reported.</x:v>
      </x:c>
      <x:c r="I247" s="43" t="str">
        <x:v>SRC149; SRC186</x:v>
      </x:c>
    </x:row>
    <x:row r="248" ht="58" customHeight="1">
      <x:c r="A248" s="43" t="str">
        <x:v>OP-PSY-0244</x:v>
      </x:c>
      <x:c r="B248" s="43" t="str">
        <x:v>PSY-082</x:v>
      </x:c>
      <x:c r="C248" s="43" t="str">
        <x:v>Self-Control Capacity</x:v>
      </x:c>
      <x:c r="D248" s="43" t="str">
        <x:v>Construct-specific assessment: Delay or restraint behavior</x:v>
      </x:c>
      <x:c r="E248" s="43" t="str">
        <x:v>Self-report / assessment</x:v>
      </x:c>
      <x:c r="F248" s="43" t="str">
        <x:v>Low–high state capacity; behavioral restraint index</x:v>
      </x:c>
      <x:c r="G248" s="43" t="str">
        <x:v>Moderate</x:v>
      </x:c>
      <x:c r="H248" s="43" t="str">
        <x:v>Performance tasks and self-report capture different facets; capacity can be distinguished from momentary deployment and opportunity. Use behavior-, target-, and time-specific wording and report reliability and invariance where relevant.</x:v>
      </x:c>
      <x:c r="I248" s="43" t="str">
        <x:v>SRC157; SRC186</x:v>
      </x:c>
    </x:row>
    <x:row r="249" ht="58" customHeight="1">
      <x:c r="A249" s="43" t="str">
        <x:v>OP-PSY-0245</x:v>
      </x:c>
      <x:c r="B249" s="43" t="str">
        <x:v>PSY-082</x:v>
      </x:c>
      <x:c r="C249" s="43" t="str">
        <x:v>Self-Control Capacity</x:v>
      </x:c>
      <x:c r="D249" s="43" t="str">
        <x:v>Standardized task or scenario indicator: state-control rating</x:v>
      </x:c>
      <x:c r="E249" s="43" t="str">
        <x:v>Behavioral / clinical assessment</x:v>
      </x:c>
      <x:c r="F249" s="43" t="str">
        <x:v>Low–high state capacity; behavioral restraint index</x:v>
      </x:c>
      <x:c r="G249" s="43" t="str">
        <x:v>Moderate</x:v>
      </x:c>
      <x:c r="H249" s="43" t="str">
        <x:v>Performance tasks and self-report capture different facets; capacity can be distinguished from momentary deployment and opportunity. Task performance is an indicator and should not be treated as a pure one-to-one measure.</x:v>
      </x:c>
      <x:c r="I249" s="43" t="str">
        <x:v>SRC157; SRC186</x:v>
      </x:c>
    </x:row>
    <x:row r="250" ht="58" customHeight="1">
      <x:c r="A250" s="43" t="str">
        <x:v>OP-PSY-0246</x:v>
      </x:c>
      <x:c r="B250" s="43" t="str">
        <x:v>PSY-082</x:v>
      </x:c>
      <x:c r="C250" s="43" t="str">
        <x:v>Self-Control Capacity</x:v>
      </x:c>
      <x:c r="D250" s="43" t="str">
        <x:v>Repeated choice or performance model for Self-Control Capacity</x:v>
      </x:c>
      <x:c r="E250" s="43" t="str">
        <x:v>Behavioral / clinical assessment</x:v>
      </x:c>
      <x:c r="F250" s="43" t="str">
        <x:v>Repeated trials, longitudinal estimate, or fitted parameter</x:v>
      </x:c>
      <x:c r="G250" s="43" t="str">
        <x:v>Moderate</x:v>
      </x:c>
      <x:c r="H250" s="43" t="str">
        <x:v>Performance tasks and self-report capture different facets; capacity can be distinguished from momentary deployment and opportunity. Model fit and out-of-sample stability should be reported.</x:v>
      </x:c>
      <x:c r="I250" s="43" t="str">
        <x:v>SRC157; SRC186</x:v>
      </x:c>
    </x:row>
    <x:row r="251" ht="58" customHeight="1">
      <x:c r="A251" s="43" t="str">
        <x:v>OP-PSY-0247</x:v>
      </x:c>
      <x:c r="B251" s="43" t="str">
        <x:v>PSY-083</x:v>
      </x:c>
      <x:c r="C251" s="43" t="str">
        <x:v>Coping Strategy Flexibility</x:v>
      </x:c>
      <x:c r="D251" s="43" t="str">
        <x:v>Construct-specific assessment: Strategy switching</x:v>
      </x:c>
      <x:c r="E251" s="43" t="str">
        <x:v>Self-report / assessment</x:v>
      </x:c>
      <x:c r="F251" s="43" t="str">
        <x:v>Low–high flexibility; repertoire × context-fit measure</x:v>
      </x:c>
      <x:c r="G251" s="43" t="str">
        <x:v>Moderate</x:v>
      </x:c>
      <x:c r="H251" s="43" t="str">
        <x:v>Performance tasks and self-report capture different facets; capacity can be distinguished from momentary deployment and opportunity. Use behavior-, target-, and time-specific wording and report reliability and invariance where relevant.</x:v>
      </x:c>
      <x:c r="I251" s="43" t="str">
        <x:v>SRC121; SRC143</x:v>
      </x:c>
    </x:row>
    <x:row r="252" ht="58" customHeight="1">
      <x:c r="A252" s="43" t="str">
        <x:v>OP-PSY-0248</x:v>
      </x:c>
      <x:c r="B252" s="43" t="str">
        <x:v>PSY-083</x:v>
      </x:c>
      <x:c r="C252" s="43" t="str">
        <x:v>Coping Strategy Flexibility</x:v>
      </x:c>
      <x:c r="D252" s="43" t="str">
        <x:v>Standardized task or scenario indicator: context-fit ratings</x:v>
      </x:c>
      <x:c r="E252" s="43" t="str">
        <x:v>Behavioral / clinical assessment</x:v>
      </x:c>
      <x:c r="F252" s="43" t="str">
        <x:v>Low–high flexibility; repertoire × context-fit measure</x:v>
      </x:c>
      <x:c r="G252" s="43" t="str">
        <x:v>Moderate</x:v>
      </x:c>
      <x:c r="H252" s="43" t="str">
        <x:v>Performance tasks and self-report capture different facets; capacity can be distinguished from momentary deployment and opportunity. Task performance is an indicator and should not be treated as a pure one-to-one measure.</x:v>
      </x:c>
      <x:c r="I252" s="43" t="str">
        <x:v>SRC121; SRC143</x:v>
      </x:c>
    </x:row>
    <x:row r="253" ht="58" customHeight="1">
      <x:c r="A253" s="43" t="str">
        <x:v>OP-PSY-0249</x:v>
      </x:c>
      <x:c r="B253" s="43" t="str">
        <x:v>PSY-083</x:v>
      </x:c>
      <x:c r="C253" s="43" t="str">
        <x:v>Coping Strategy Flexibility</x:v>
      </x:c>
      <x:c r="D253" s="43" t="str">
        <x:v>Repeated choice or performance model for Coping Strategy Flexibility</x:v>
      </x:c>
      <x:c r="E253" s="43" t="str">
        <x:v>Behavioral / clinical assessment</x:v>
      </x:c>
      <x:c r="F253" s="43" t="str">
        <x:v>Repeated trials, longitudinal estimate, or fitted parameter</x:v>
      </x:c>
      <x:c r="G253" s="43" t="str">
        <x:v>Moderate</x:v>
      </x:c>
      <x:c r="H253" s="43" t="str">
        <x:v>Performance tasks and self-report capture different facets; capacity can be distinguished from momentary deployment and opportunity. Model fit and out-of-sample stability should be reported.</x:v>
      </x:c>
      <x:c r="I253" s="43" t="str">
        <x:v>SRC121; SRC143</x:v>
      </x:c>
    </x:row>
    <x:row r="254" ht="58" customHeight="1">
      <x:c r="A254" s="43" t="str">
        <x:v>OP-PSY-0250</x:v>
      </x:c>
      <x:c r="B254" s="43" t="str">
        <x:v>PSY-084</x:v>
      </x:c>
      <x:c r="C254" s="43" t="str">
        <x:v>Loss Aversion</x:v>
      </x:c>
      <x:c r="D254" s="43" t="str">
        <x:v>Construct-specific assessment: Mixed-gamble choices</x:v>
      </x:c>
      <x:c r="E254" s="43" t="str">
        <x:v>Self-report / assessment</x:v>
      </x:c>
      <x:c r="F254" s="43" t="str">
        <x:v>Estimated loss-aversion coefficient; choice-indifference ratio</x:v>
      </x:c>
      <x:c r="G254" s="43" t="str">
        <x:v>Moderate</x:v>
      </x:c>
      <x:c r="H254" s="43" t="str">
        <x:v>Estimated parameters can be task-, domain-, stake-, and model-dependent; descriptive regularities are not fixed universal traits. Use behavior-, target-, and time-specific wording and report reliability and invariance where relevant.</x:v>
      </x:c>
      <x:c r="I254" s="43" t="str">
        <x:v>SRC113; SRC187</x:v>
      </x:c>
    </x:row>
    <x:row r="255" ht="58" customHeight="1">
      <x:c r="A255" s="43" t="str">
        <x:v>OP-PSY-0251</x:v>
      </x:c>
      <x:c r="B255" s="43" t="str">
        <x:v>PSY-084</x:v>
      </x:c>
      <x:c r="C255" s="43" t="str">
        <x:v>Loss Aversion</x:v>
      </x:c>
      <x:c r="D255" s="43" t="str">
        <x:v>Standardized task or scenario indicator: selling/buying asymmetry</x:v>
      </x:c>
      <x:c r="E255" s="43" t="str">
        <x:v>Behavioral / clinical assessment</x:v>
      </x:c>
      <x:c r="F255" s="43" t="str">
        <x:v>Estimated loss-aversion coefficient; choice-indifference ratio</x:v>
      </x:c>
      <x:c r="G255" s="43" t="str">
        <x:v>Moderate</x:v>
      </x:c>
      <x:c r="H255" s="43" t="str">
        <x:v>Estimated parameters can be task-, domain-, stake-, and model-dependent; descriptive regularities are not fixed universal traits. Task performance is an indicator and should not be treated as a pure one-to-one measure.</x:v>
      </x:c>
      <x:c r="I255" s="43" t="str">
        <x:v>SRC113; SRC187</x:v>
      </x:c>
    </x:row>
    <x:row r="256" ht="58" customHeight="1">
      <x:c r="A256" s="43" t="str">
        <x:v>OP-PSY-0252</x:v>
      </x:c>
      <x:c r="B256" s="43" t="str">
        <x:v>PSY-084</x:v>
      </x:c>
      <x:c r="C256" s="43" t="str">
        <x:v>Loss Aversion</x:v>
      </x:c>
      <x:c r="D256" s="43" t="str">
        <x:v>Repeated choice or performance model for Loss Aversion</x:v>
      </x:c>
      <x:c r="E256" s="43" t="str">
        <x:v>Behavioral / clinical assessment</x:v>
      </x:c>
      <x:c r="F256" s="43" t="str">
        <x:v>Repeated trials, longitudinal estimate, or fitted parameter</x:v>
      </x:c>
      <x:c r="G256" s="43" t="str">
        <x:v>Moderate</x:v>
      </x:c>
      <x:c r="H256" s="43" t="str">
        <x:v>Estimated parameters can be task-, domain-, stake-, and model-dependent; descriptive regularities are not fixed universal traits. Model fit and out-of-sample stability should be reported.</x:v>
      </x:c>
      <x:c r="I256" s="43" t="str">
        <x:v>SRC113; SRC187</x:v>
      </x:c>
    </x:row>
    <x:row r="257" ht="58" customHeight="1">
      <x:c r="A257" s="43" t="str">
        <x:v>OP-PSY-0253</x:v>
      </x:c>
      <x:c r="B257" s="43" t="str">
        <x:v>PSY-085</x:v>
      </x:c>
      <x:c r="C257" s="43" t="str">
        <x:v>Reference Point</x:v>
      </x:c>
      <x:c r="D257" s="43" t="str">
        <x:v>Construct-specific assessment: Stated expectation</x:v>
      </x:c>
      <x:c r="E257" s="43" t="str">
        <x:v>Self-report / assessment</x:v>
      </x:c>
      <x:c r="F257" s="43" t="str">
        <x:v>Outcome units; status quo, expectation, goal, or social-comparison baseline</x:v>
      </x:c>
      <x:c r="G257" s="43" t="str">
        <x:v>Moderate</x:v>
      </x:c>
      <x:c r="H257" s="43" t="str">
        <x:v>Estimated parameters can be task-, domain-, stake-, and model-dependent; descriptive regularities are not fixed universal traits. Use behavior-, target-, and time-specific wording and report reliability and invariance where relevant.</x:v>
      </x:c>
      <x:c r="I257" s="43" t="str">
        <x:v>SRC113; SRC187</x:v>
      </x:c>
    </x:row>
    <x:row r="258" ht="58" customHeight="1">
      <x:c r="A258" s="43" t="str">
        <x:v>OP-PSY-0254</x:v>
      </x:c>
      <x:c r="B258" s="43" t="str">
        <x:v>PSY-085</x:v>
      </x:c>
      <x:c r="C258" s="43" t="str">
        <x:v>Reference Point</x:v>
      </x:c>
      <x:c r="D258" s="43" t="str">
        <x:v>Standardized task or scenario indicator: status quo</x:v>
      </x:c>
      <x:c r="E258" s="43" t="str">
        <x:v>Behavioral / clinical assessment</x:v>
      </x:c>
      <x:c r="F258" s="43" t="str">
        <x:v>Outcome units; status quo, expectation, goal, or social-comparison baseline</x:v>
      </x:c>
      <x:c r="G258" s="43" t="str">
        <x:v>Moderate</x:v>
      </x:c>
      <x:c r="H258" s="43" t="str">
        <x:v>Estimated parameters can be task-, domain-, stake-, and model-dependent; descriptive regularities are not fixed universal traits. Task performance is an indicator and should not be treated as a pure one-to-one measure.</x:v>
      </x:c>
      <x:c r="I258" s="43" t="str">
        <x:v>SRC113; SRC187</x:v>
      </x:c>
    </x:row>
    <x:row r="259" ht="58" customHeight="1">
      <x:c r="A259" s="43" t="str">
        <x:v>OP-PSY-0255</x:v>
      </x:c>
      <x:c r="B259" s="43" t="str">
        <x:v>PSY-085</x:v>
      </x:c>
      <x:c r="C259" s="43" t="str">
        <x:v>Reference Point</x:v>
      </x:c>
      <x:c r="D259" s="43" t="str">
        <x:v>Repeated choice or performance model for Reference Point</x:v>
      </x:c>
      <x:c r="E259" s="43" t="str">
        <x:v>Behavioral / clinical assessment</x:v>
      </x:c>
      <x:c r="F259" s="43" t="str">
        <x:v>Repeated trials, longitudinal estimate, or fitted parameter</x:v>
      </x:c>
      <x:c r="G259" s="43" t="str">
        <x:v>Moderate</x:v>
      </x:c>
      <x:c r="H259" s="43" t="str">
        <x:v>Estimated parameters can be task-, domain-, stake-, and model-dependent; descriptive regularities are not fixed universal traits. Model fit and out-of-sample stability should be reported.</x:v>
      </x:c>
      <x:c r="I259" s="43" t="str">
        <x:v>SRC113; SRC187</x:v>
      </x:c>
    </x:row>
    <x:row r="260" ht="58" customHeight="1">
      <x:c r="A260" s="43" t="str">
        <x:v>OP-PSY-0256</x:v>
      </x:c>
      <x:c r="B260" s="43" t="str">
        <x:v>PSY-086</x:v>
      </x:c>
      <x:c r="C260" s="43" t="str">
        <x:v>Risk Preference</x:v>
      </x:c>
      <x:c r="D260" s="43" t="str">
        <x:v>Construct-specific assessment: Lottery choices</x:v>
      </x:c>
      <x:c r="E260" s="43" t="str">
        <x:v>Self-report / assessment</x:v>
      </x:c>
      <x:c r="F260" s="43" t="str">
        <x:v>Risk averse–neutral–risk seeking; utility curvature estimate</x:v>
      </x:c>
      <x:c r="G260" s="43" t="str">
        <x:v>Moderate</x:v>
      </x:c>
      <x:c r="H260" s="43" t="str">
        <x:v>Estimated parameters can be task-, domain-, stake-, and model-dependent; descriptive regularities are not fixed universal traits. Use behavior-, target-, and time-specific wording and report reliability and invariance where relevant.</x:v>
      </x:c>
      <x:c r="I260" s="43" t="str">
        <x:v>SRC113; SRC188</x:v>
      </x:c>
    </x:row>
    <x:row r="261" ht="58" customHeight="1">
      <x:c r="A261" s="43" t="str">
        <x:v>OP-PSY-0257</x:v>
      </x:c>
      <x:c r="B261" s="43" t="str">
        <x:v>PSY-086</x:v>
      </x:c>
      <x:c r="C261" s="43" t="str">
        <x:v>Risk Preference</x:v>
      </x:c>
      <x:c r="D261" s="43" t="str">
        <x:v>Standardized task or scenario indicator: certainty equivalents</x:v>
      </x:c>
      <x:c r="E261" s="43" t="str">
        <x:v>Behavioral / clinical assessment</x:v>
      </x:c>
      <x:c r="F261" s="43" t="str">
        <x:v>Risk averse–neutral–risk seeking; utility curvature estimate</x:v>
      </x:c>
      <x:c r="G261" s="43" t="str">
        <x:v>Moderate</x:v>
      </x:c>
      <x:c r="H261" s="43" t="str">
        <x:v>Estimated parameters can be task-, domain-, stake-, and model-dependent; descriptive regularities are not fixed universal traits. Task performance is an indicator and should not be treated as a pure one-to-one measure.</x:v>
      </x:c>
      <x:c r="I261" s="43" t="str">
        <x:v>SRC113; SRC188</x:v>
      </x:c>
    </x:row>
    <x:row r="262" ht="58" customHeight="1">
      <x:c r="A262" s="43" t="str">
        <x:v>OP-PSY-0258</x:v>
      </x:c>
      <x:c r="B262" s="43" t="str">
        <x:v>PSY-086</x:v>
      </x:c>
      <x:c r="C262" s="43" t="str">
        <x:v>Risk Preference</x:v>
      </x:c>
      <x:c r="D262" s="43" t="str">
        <x:v>Repeated choice or performance model for Risk Preference</x:v>
      </x:c>
      <x:c r="E262" s="43" t="str">
        <x:v>Behavioral / clinical assessment</x:v>
      </x:c>
      <x:c r="F262" s="43" t="str">
        <x:v>Repeated trials, longitudinal estimate, or fitted parameter</x:v>
      </x:c>
      <x:c r="G262" s="43" t="str">
        <x:v>Moderate</x:v>
      </x:c>
      <x:c r="H262" s="43" t="str">
        <x:v>Estimated parameters can be task-, domain-, stake-, and model-dependent; descriptive regularities are not fixed universal traits. Model fit and out-of-sample stability should be reported.</x:v>
      </x:c>
      <x:c r="I262" s="43" t="str">
        <x:v>SRC113; SRC188</x:v>
      </x:c>
    </x:row>
    <x:row r="263" ht="58" customHeight="1">
      <x:c r="A263" s="43" t="str">
        <x:v>OP-PSY-0259</x:v>
      </x:c>
      <x:c r="B263" s="43" t="str">
        <x:v>PSY-087</x:v>
      </x:c>
      <x:c r="C263" s="43" t="str">
        <x:v>Probability Weighting</x:v>
      </x:c>
      <x:c r="D263" s="43" t="str">
        <x:v>Construct-specific assessment: Lottery choices</x:v>
      </x:c>
      <x:c r="E263" s="43" t="str">
        <x:v>Self-report / assessment</x:v>
      </x:c>
      <x:c r="F263" s="43" t="str">
        <x:v>Estimated weighting function or probability-specific decision weights</x:v>
      </x:c>
      <x:c r="G263" s="43" t="str">
        <x:v>Moderate</x:v>
      </x:c>
      <x:c r="H263" s="43" t="str">
        <x:v>Estimated parameters can be task-, domain-, stake-, and model-dependent; descriptive regularities are not fixed universal traits. Use behavior-, target-, and time-specific wording and report reliability and invariance where relevant.</x:v>
      </x:c>
      <x:c r="I263" s="43" t="str">
        <x:v>SRC113; SRC187</x:v>
      </x:c>
    </x:row>
    <x:row r="264" ht="58" customHeight="1">
      <x:c r="A264" s="43" t="str">
        <x:v>OP-PSY-0260</x:v>
      </x:c>
      <x:c r="B264" s="43" t="str">
        <x:v>PSY-087</x:v>
      </x:c>
      <x:c r="C264" s="43" t="str">
        <x:v>Probability Weighting</x:v>
      </x:c>
      <x:c r="D264" s="43" t="str">
        <x:v>Standardized task or scenario indicator: probability-matching task</x:v>
      </x:c>
      <x:c r="E264" s="43" t="str">
        <x:v>Behavioral / clinical assessment</x:v>
      </x:c>
      <x:c r="F264" s="43" t="str">
        <x:v>Estimated weighting function or probability-specific decision weights</x:v>
      </x:c>
      <x:c r="G264" s="43" t="str">
        <x:v>Moderate</x:v>
      </x:c>
      <x:c r="H264" s="43" t="str">
        <x:v>Estimated parameters can be task-, domain-, stake-, and model-dependent; descriptive regularities are not fixed universal traits. Task performance is an indicator and should not be treated as a pure one-to-one measure.</x:v>
      </x:c>
      <x:c r="I264" s="43" t="str">
        <x:v>SRC113; SRC187</x:v>
      </x:c>
    </x:row>
    <x:row r="265" ht="58" customHeight="1">
      <x:c r="A265" s="43" t="str">
        <x:v>OP-PSY-0261</x:v>
      </x:c>
      <x:c r="B265" s="43" t="str">
        <x:v>PSY-087</x:v>
      </x:c>
      <x:c r="C265" s="43" t="str">
        <x:v>Probability Weighting</x:v>
      </x:c>
      <x:c r="D265" s="43" t="str">
        <x:v>Repeated choice or performance model for Probability Weighting</x:v>
      </x:c>
      <x:c r="E265" s="43" t="str">
        <x:v>Behavioral / clinical assessment</x:v>
      </x:c>
      <x:c r="F265" s="43" t="str">
        <x:v>Repeated trials, longitudinal estimate, or fitted parameter</x:v>
      </x:c>
      <x:c r="G265" s="43" t="str">
        <x:v>Moderate</x:v>
      </x:c>
      <x:c r="H265" s="43" t="str">
        <x:v>Estimated parameters can be task-, domain-, stake-, and model-dependent; descriptive regularities are not fixed universal traits. Model fit and out-of-sample stability should be reported.</x:v>
      </x:c>
      <x:c r="I265" s="43" t="str">
        <x:v>SRC113; SRC187</x:v>
      </x:c>
    </x:row>
    <x:row r="266" ht="58" customHeight="1">
      <x:c r="A266" s="43" t="str">
        <x:v>OP-PSY-0262</x:v>
      </x:c>
      <x:c r="B266" s="43" t="str">
        <x:v>PSY-088</x:v>
      </x:c>
      <x:c r="C266" s="43" t="str">
        <x:v>Ambiguity Aversion</x:v>
      </x:c>
      <x:c r="D266" s="43" t="str">
        <x:v>Construct-specific assessment: Ellsberg-type choices</x:v>
      </x:c>
      <x:c r="E266" s="43" t="str">
        <x:v>Self-report / assessment</x:v>
      </x:c>
      <x:c r="F266" s="43" t="str">
        <x:v>Choice premium; ambiguity-aversion parameter; low–high scale</x:v>
      </x:c>
      <x:c r="G266" s="43" t="str">
        <x:v>Moderate</x:v>
      </x:c>
      <x:c r="H266" s="43" t="str">
        <x:v>Estimated parameters can be task-, domain-, stake-, and model-dependent; descriptive regularities are not fixed universal traits. Use behavior-, target-, and time-specific wording and report reliability and invariance where relevant.</x:v>
      </x:c>
      <x:c r="I266" s="43" t="str">
        <x:v>SRC189; SRC123</x:v>
      </x:c>
    </x:row>
    <x:row r="267" ht="58" customHeight="1">
      <x:c r="A267" s="43" t="str">
        <x:v>OP-PSY-0263</x:v>
      </x:c>
      <x:c r="B267" s="43" t="str">
        <x:v>PSY-088</x:v>
      </x:c>
      <x:c r="C267" s="43" t="str">
        <x:v>Ambiguity Aversion</x:v>
      </x:c>
      <x:c r="D267" s="43" t="str">
        <x:v>Standardized task or scenario indicator: ambiguity premium</x:v>
      </x:c>
      <x:c r="E267" s="43" t="str">
        <x:v>Behavioral / clinical assessment</x:v>
      </x:c>
      <x:c r="F267" s="43" t="str">
        <x:v>Choice premium; ambiguity-aversion parameter; low–high scale</x:v>
      </x:c>
      <x:c r="G267" s="43" t="str">
        <x:v>Moderate</x:v>
      </x:c>
      <x:c r="H267" s="43" t="str">
        <x:v>Estimated parameters can be task-, domain-, stake-, and model-dependent; descriptive regularities are not fixed universal traits. Task performance is an indicator and should not be treated as a pure one-to-one measure.</x:v>
      </x:c>
      <x:c r="I267" s="43" t="str">
        <x:v>SRC189; SRC123</x:v>
      </x:c>
    </x:row>
    <x:row r="268" ht="58" customHeight="1">
      <x:c r="A268" s="43" t="str">
        <x:v>OP-PSY-0264</x:v>
      </x:c>
      <x:c r="B268" s="43" t="str">
        <x:v>PSY-088</x:v>
      </x:c>
      <x:c r="C268" s="43" t="str">
        <x:v>Ambiguity Aversion</x:v>
      </x:c>
      <x:c r="D268" s="43" t="str">
        <x:v>Repeated choice or performance model for Ambiguity Aversion</x:v>
      </x:c>
      <x:c r="E268" s="43" t="str">
        <x:v>Behavioral / clinical assessment</x:v>
      </x:c>
      <x:c r="F268" s="43" t="str">
        <x:v>Repeated trials, longitudinal estimate, or fitted parameter</x:v>
      </x:c>
      <x:c r="G268" s="43" t="str">
        <x:v>Moderate</x:v>
      </x:c>
      <x:c r="H268" s="43" t="str">
        <x:v>Estimated parameters can be task-, domain-, stake-, and model-dependent; descriptive regularities are not fixed universal traits. Model fit and out-of-sample stability should be reported.</x:v>
      </x:c>
      <x:c r="I268" s="43" t="str">
        <x:v>SRC189; SRC123</x:v>
      </x:c>
    </x:row>
    <x:row r="269" ht="58" customHeight="1">
      <x:c r="A269" s="43" t="str">
        <x:v>OP-PSY-0265</x:v>
      </x:c>
      <x:c r="B269" s="43" t="str">
        <x:v>PSY-089</x:v>
      </x:c>
      <x:c r="C269" s="43" t="str">
        <x:v>Delay Discounting</x:v>
      </x:c>
      <x:c r="D269" s="43" t="str">
        <x:v>Construct-specific assessment: Intertemporal choices</x:v>
      </x:c>
      <x:c r="E269" s="43" t="str">
        <x:v>Self-report / assessment</x:v>
      </x:c>
      <x:c r="F269" s="43" t="str">
        <x:v>Hyperbolic or exponential discount parameter; indifference points</x:v>
      </x:c>
      <x:c r="G269" s="43" t="str">
        <x:v>Moderate</x:v>
      </x:c>
      <x:c r="H269" s="43" t="str">
        <x:v>Estimated parameters can be task-, domain-, stake-, and model-dependent; descriptive regularities are not fixed universal traits. Use behavior-, target-, and time-specific wording and report reliability and invariance where relevant.</x:v>
      </x:c>
      <x:c r="I269" s="43" t="str">
        <x:v>SRC126; SRC190</x:v>
      </x:c>
    </x:row>
    <x:row r="270" ht="58" customHeight="1">
      <x:c r="A270" s="43" t="str">
        <x:v>OP-PSY-0266</x:v>
      </x:c>
      <x:c r="B270" s="43" t="str">
        <x:v>PSY-089</x:v>
      </x:c>
      <x:c r="C270" s="43" t="str">
        <x:v>Delay Discounting</x:v>
      </x:c>
      <x:c r="D270" s="43" t="str">
        <x:v>Standardized task or scenario indicator: indifference points</x:v>
      </x:c>
      <x:c r="E270" s="43" t="str">
        <x:v>Behavioral / clinical assessment</x:v>
      </x:c>
      <x:c r="F270" s="43" t="str">
        <x:v>Hyperbolic or exponential discount parameter; indifference points</x:v>
      </x:c>
      <x:c r="G270" s="43" t="str">
        <x:v>Moderate</x:v>
      </x:c>
      <x:c r="H270" s="43" t="str">
        <x:v>Estimated parameters can be task-, domain-, stake-, and model-dependent; descriptive regularities are not fixed universal traits. Task performance is an indicator and should not be treated as a pure one-to-one measure.</x:v>
      </x:c>
      <x:c r="I270" s="43" t="str">
        <x:v>SRC126; SRC190</x:v>
      </x:c>
    </x:row>
    <x:row r="271" ht="58" customHeight="1">
      <x:c r="A271" s="43" t="str">
        <x:v>OP-PSY-0267</x:v>
      </x:c>
      <x:c r="B271" s="43" t="str">
        <x:v>PSY-089</x:v>
      </x:c>
      <x:c r="C271" s="43" t="str">
        <x:v>Delay Discounting</x:v>
      </x:c>
      <x:c r="D271" s="43" t="str">
        <x:v>Repeated choice or performance model for Delay Discounting</x:v>
      </x:c>
      <x:c r="E271" s="43" t="str">
        <x:v>Behavioral / clinical assessment</x:v>
      </x:c>
      <x:c r="F271" s="43" t="str">
        <x:v>Repeated trials, longitudinal estimate, or fitted parameter</x:v>
      </x:c>
      <x:c r="G271" s="43" t="str">
        <x:v>Moderate</x:v>
      </x:c>
      <x:c r="H271" s="43" t="str">
        <x:v>Estimated parameters can be task-, domain-, stake-, and model-dependent; descriptive regularities are not fixed universal traits. Model fit and out-of-sample stability should be reported.</x:v>
      </x:c>
      <x:c r="I271" s="43" t="str">
        <x:v>SRC126; SRC190</x:v>
      </x:c>
    </x:row>
    <x:row r="272" ht="58" customHeight="1">
      <x:c r="A272" s="43" t="str">
        <x:v>OP-PSY-0268</x:v>
      </x:c>
      <x:c r="B272" s="43" t="str">
        <x:v>PSY-090</x:v>
      </x:c>
      <x:c r="C272" s="43" t="str">
        <x:v>Present Bias</x:v>
      </x:c>
      <x:c r="D272" s="43" t="str">
        <x:v>Construct-specific assessment: Preference reversal</x:v>
      </x:c>
      <x:c r="E272" s="43" t="str">
        <x:v>Self-report / assessment</x:v>
      </x:c>
      <x:c r="F272" s="43" t="str">
        <x:v>Beta parameter; preference reversal across immediate versus delayed choices</x:v>
      </x:c>
      <x:c r="G272" s="43" t="str">
        <x:v>Moderate</x:v>
      </x:c>
      <x:c r="H272" s="43" t="str">
        <x:v>Estimated parameters can be task-, domain-, stake-, and model-dependent; descriptive regularities are not fixed universal traits. Use behavior-, target-, and time-specific wording and report reliability and invariance where relevant.</x:v>
      </x:c>
      <x:c r="I272" s="43" t="str">
        <x:v>SRC126; SRC190</x:v>
      </x:c>
    </x:row>
    <x:row r="273" ht="58" customHeight="1">
      <x:c r="A273" s="43" t="str">
        <x:v>OP-PSY-0269</x:v>
      </x:c>
      <x:c r="B273" s="43" t="str">
        <x:v>PSY-090</x:v>
      </x:c>
      <x:c r="C273" s="43" t="str">
        <x:v>Present Bias</x:v>
      </x:c>
      <x:c r="D273" s="43" t="str">
        <x:v>Standardized task or scenario indicator: immediate-choice premium</x:v>
      </x:c>
      <x:c r="E273" s="43" t="str">
        <x:v>Behavioral / clinical assessment</x:v>
      </x:c>
      <x:c r="F273" s="43" t="str">
        <x:v>Beta parameter; preference reversal across immediate versus delayed choices</x:v>
      </x:c>
      <x:c r="G273" s="43" t="str">
        <x:v>Moderate</x:v>
      </x:c>
      <x:c r="H273" s="43" t="str">
        <x:v>Estimated parameters can be task-, domain-, stake-, and model-dependent; descriptive regularities are not fixed universal traits. Task performance is an indicator and should not be treated as a pure one-to-one measure.</x:v>
      </x:c>
      <x:c r="I273" s="43" t="str">
        <x:v>SRC126; SRC190</x:v>
      </x:c>
    </x:row>
    <x:row r="274" ht="58" customHeight="1">
      <x:c r="A274" s="43" t="str">
        <x:v>OP-PSY-0270</x:v>
      </x:c>
      <x:c r="B274" s="43" t="str">
        <x:v>PSY-090</x:v>
      </x:c>
      <x:c r="C274" s="43" t="str">
        <x:v>Present Bias</x:v>
      </x:c>
      <x:c r="D274" s="43" t="str">
        <x:v>Repeated choice or performance model for Present Bias</x:v>
      </x:c>
      <x:c r="E274" s="43" t="str">
        <x:v>Behavioral / clinical assessment</x:v>
      </x:c>
      <x:c r="F274" s="43" t="str">
        <x:v>Repeated trials, longitudinal estimate, or fitted parameter</x:v>
      </x:c>
      <x:c r="G274" s="43" t="str">
        <x:v>Moderate</x:v>
      </x:c>
      <x:c r="H274" s="43" t="str">
        <x:v>Estimated parameters can be task-, domain-, stake-, and model-dependent; descriptive regularities are not fixed universal traits. Model fit and out-of-sample stability should be reported.</x:v>
      </x:c>
      <x:c r="I274" s="43" t="str">
        <x:v>SRC126; SRC190</x:v>
      </x:c>
    </x:row>
    <x:row r="275" ht="58" customHeight="1">
      <x:c r="A275" s="43" t="str">
        <x:v>OP-PSY-0271</x:v>
      </x:c>
      <x:c r="B275" s="43" t="str">
        <x:v>PSY-091</x:v>
      </x:c>
      <x:c r="C275" s="43" t="str">
        <x:v>Effort Discounting</x:v>
      </x:c>
      <x:c r="D275" s="43" t="str">
        <x:v>Construct-specific assessment: Effort-choice task</x:v>
      </x:c>
      <x:c r="E275" s="43" t="str">
        <x:v>Self-report / assessment</x:v>
      </x:c>
      <x:c r="F275" s="43" t="str">
        <x:v>Effort-discount parameter; effort indifference points</x:v>
      </x:c>
      <x:c r="G275" s="43" t="str">
        <x:v>Moderate</x:v>
      </x:c>
      <x:c r="H275" s="43" t="str">
        <x:v>Estimated parameters can be task-, domain-, stake-, and model-dependent; descriptive regularities are not fixed universal traits. Use behavior-, target-, and time-specific wording and report reliability and invariance where relevant.</x:v>
      </x:c>
      <x:c r="I275" s="43" t="str">
        <x:v>SRC191; SRC118</x:v>
      </x:c>
    </x:row>
    <x:row r="276" ht="58" customHeight="1">
      <x:c r="A276" s="43" t="str">
        <x:v>OP-PSY-0272</x:v>
      </x:c>
      <x:c r="B276" s="43" t="str">
        <x:v>PSY-091</x:v>
      </x:c>
      <x:c r="C276" s="43" t="str">
        <x:v>Effort Discounting</x:v>
      </x:c>
      <x:c r="D276" s="43" t="str">
        <x:v>Standardized task or scenario indicator: persistence</x:v>
      </x:c>
      <x:c r="E276" s="43" t="str">
        <x:v>Behavioral / clinical assessment</x:v>
      </x:c>
      <x:c r="F276" s="43" t="str">
        <x:v>Effort-discount parameter; effort indifference points</x:v>
      </x:c>
      <x:c r="G276" s="43" t="str">
        <x:v>Moderate</x:v>
      </x:c>
      <x:c r="H276" s="43" t="str">
        <x:v>Estimated parameters can be task-, domain-, stake-, and model-dependent; descriptive regularities are not fixed universal traits. Task performance is an indicator and should not be treated as a pure one-to-one measure.</x:v>
      </x:c>
      <x:c r="I276" s="43" t="str">
        <x:v>SRC191; SRC118</x:v>
      </x:c>
    </x:row>
    <x:row r="277" ht="58" customHeight="1">
      <x:c r="A277" s="43" t="str">
        <x:v>OP-PSY-0273</x:v>
      </x:c>
      <x:c r="B277" s="43" t="str">
        <x:v>PSY-091</x:v>
      </x:c>
      <x:c r="C277" s="43" t="str">
        <x:v>Effort Discounting</x:v>
      </x:c>
      <x:c r="D277" s="43" t="str">
        <x:v>Repeated choice or performance model for Effort Discounting</x:v>
      </x:c>
      <x:c r="E277" s="43" t="str">
        <x:v>Behavioral / clinical assessment</x:v>
      </x:c>
      <x:c r="F277" s="43" t="str">
        <x:v>Repeated trials, longitudinal estimate, or fitted parameter</x:v>
      </x:c>
      <x:c r="G277" s="43" t="str">
        <x:v>Moderate</x:v>
      </x:c>
      <x:c r="H277" s="43" t="str">
        <x:v>Estimated parameters can be task-, domain-, stake-, and model-dependent; descriptive regularities are not fixed universal traits. Model fit and out-of-sample stability should be reported.</x:v>
      </x:c>
      <x:c r="I277" s="43" t="str">
        <x:v>SRC191; SRC118</x:v>
      </x:c>
    </x:row>
    <x:row r="278" ht="58" customHeight="1">
      <x:c r="A278" s="43" t="str">
        <x:v>OP-PSY-0274</x:v>
      </x:c>
      <x:c r="B278" s="43" t="str">
        <x:v>PSY-092</x:v>
      </x:c>
      <x:c r="C278" s="43" t="str">
        <x:v>Decision Conflict</x:v>
      </x:c>
      <x:c r="D278" s="43" t="str">
        <x:v>Construct-specific assessment: Long response time</x:v>
      </x:c>
      <x:c r="E278" s="43" t="str">
        <x:v>Self-report / assessment</x:v>
      </x:c>
      <x:c r="F278" s="43" t="str">
        <x:v>Low–high conflict; response-time or indecision index</x:v>
      </x:c>
      <x:c r="G278" s="43" t="str">
        <x:v>Moderate</x:v>
      </x:c>
      <x:c r="H278" s="43" t="str">
        <x:v>Estimated parameters can be task-, domain-, stake-, and model-dependent; descriptive regularities are not fixed universal traits. Use behavior-, target-, and time-specific wording and report reliability and invariance where relevant.</x:v>
      </x:c>
      <x:c r="I278" s="43" t="str">
        <x:v>SRC192; SRC115</x:v>
      </x:c>
    </x:row>
    <x:row r="279" ht="58" customHeight="1">
      <x:c r="A279" s="43" t="str">
        <x:v>OP-PSY-0275</x:v>
      </x:c>
      <x:c r="B279" s="43" t="str">
        <x:v>PSY-092</x:v>
      </x:c>
      <x:c r="C279" s="43" t="str">
        <x:v>Decision Conflict</x:v>
      </x:c>
      <x:c r="D279" s="43" t="str">
        <x:v>Standardized task or scenario indicator: reversals</x:v>
      </x:c>
      <x:c r="E279" s="43" t="str">
        <x:v>Behavioral / clinical assessment</x:v>
      </x:c>
      <x:c r="F279" s="43" t="str">
        <x:v>Low–high conflict; response-time or indecision index</x:v>
      </x:c>
      <x:c r="G279" s="43" t="str">
        <x:v>Moderate</x:v>
      </x:c>
      <x:c r="H279" s="43" t="str">
        <x:v>Estimated parameters can be task-, domain-, stake-, and model-dependent; descriptive regularities are not fixed universal traits. Task performance is an indicator and should not be treated as a pure one-to-one measure.</x:v>
      </x:c>
      <x:c r="I279" s="43" t="str">
        <x:v>SRC192; SRC115</x:v>
      </x:c>
    </x:row>
    <x:row r="280" ht="58" customHeight="1">
      <x:c r="A280" s="43" t="str">
        <x:v>OP-PSY-0276</x:v>
      </x:c>
      <x:c r="B280" s="43" t="str">
        <x:v>PSY-092</x:v>
      </x:c>
      <x:c r="C280" s="43" t="str">
        <x:v>Decision Conflict</x:v>
      </x:c>
      <x:c r="D280" s="43" t="str">
        <x:v>Repeated choice or performance model for Decision Conflict</x:v>
      </x:c>
      <x:c r="E280" s="43" t="str">
        <x:v>Behavioral / clinical assessment</x:v>
      </x:c>
      <x:c r="F280" s="43" t="str">
        <x:v>Repeated trials, longitudinal estimate, or fitted parameter</x:v>
      </x:c>
      <x:c r="G280" s="43" t="str">
        <x:v>Moderate</x:v>
      </x:c>
      <x:c r="H280" s="43" t="str">
        <x:v>Estimated parameters can be task-, domain-, stake-, and model-dependent; descriptive regularities are not fixed universal traits. Model fit and out-of-sample stability should be reported.</x:v>
      </x:c>
      <x:c r="I280" s="43" t="str">
        <x:v>SRC192; SRC115</x:v>
      </x:c>
    </x:row>
    <x:row r="281" ht="58" customHeight="1">
      <x:c r="A281" s="43" t="str">
        <x:v>OP-PSY-0277</x:v>
      </x:c>
      <x:c r="B281" s="43" t="str">
        <x:v>PSY-093</x:v>
      </x:c>
      <x:c r="C281" s="43" t="str">
        <x:v>Default Option Preference</x:v>
      </x:c>
      <x:c r="D281" s="43" t="str">
        <x:v>Construct-specific assessment: Default uptake</x:v>
      </x:c>
      <x:c r="E281" s="43" t="str">
        <x:v>Self-report / assessment</x:v>
      </x:c>
      <x:c r="F281" s="43" t="str">
        <x:v>Choice-rate difference or individual default-susceptibility estimate</x:v>
      </x:c>
      <x:c r="G281" s="43" t="str">
        <x:v>Moderate</x:v>
      </x:c>
      <x:c r="H281" s="43" t="str">
        <x:v>Estimated parameters can be task-, domain-, stake-, and model-dependent; descriptive regularities are not fixed universal traits. Use behavior-, target-, and time-specific wording and report reliability and invariance where relevant.</x:v>
      </x:c>
      <x:c r="I281" s="43" t="str">
        <x:v>SRC193; SRC113</x:v>
      </x:c>
    </x:row>
    <x:row r="282" ht="58" customHeight="1">
      <x:c r="A282" s="43" t="str">
        <x:v>OP-PSY-0278</x:v>
      </x:c>
      <x:c r="B282" s="43" t="str">
        <x:v>PSY-093</x:v>
      </x:c>
      <x:c r="C282" s="43" t="str">
        <x:v>Default Option Preference</x:v>
      </x:c>
      <x:c r="D282" s="43" t="str">
        <x:v>Standardized task or scenario indicator: opt-out versus opt-in difference</x:v>
      </x:c>
      <x:c r="E282" s="43" t="str">
        <x:v>Behavioral / clinical assessment</x:v>
      </x:c>
      <x:c r="F282" s="43" t="str">
        <x:v>Choice-rate difference or individual default-susceptibility estimate</x:v>
      </x:c>
      <x:c r="G282" s="43" t="str">
        <x:v>Moderate</x:v>
      </x:c>
      <x:c r="H282" s="43" t="str">
        <x:v>Estimated parameters can be task-, domain-, stake-, and model-dependent; descriptive regularities are not fixed universal traits. Task performance is an indicator and should not be treated as a pure one-to-one measure.</x:v>
      </x:c>
      <x:c r="I282" s="43" t="str">
        <x:v>SRC193; SRC113</x:v>
      </x:c>
    </x:row>
    <x:row r="283" ht="58" customHeight="1">
      <x:c r="A283" s="43" t="str">
        <x:v>OP-PSY-0279</x:v>
      </x:c>
      <x:c r="B283" s="43" t="str">
        <x:v>PSY-093</x:v>
      </x:c>
      <x:c r="C283" s="43" t="str">
        <x:v>Default Option Preference</x:v>
      </x:c>
      <x:c r="D283" s="43" t="str">
        <x:v>Repeated choice or performance model for Default Option Preference</x:v>
      </x:c>
      <x:c r="E283" s="43" t="str">
        <x:v>Behavioral / clinical assessment</x:v>
      </x:c>
      <x:c r="F283" s="43" t="str">
        <x:v>Repeated trials, longitudinal estimate, or fitted parameter</x:v>
      </x:c>
      <x:c r="G283" s="43" t="str">
        <x:v>Moderate</x:v>
      </x:c>
      <x:c r="H283" s="43" t="str">
        <x:v>Estimated parameters can be task-, domain-, stake-, and model-dependent; descriptive regularities are not fixed universal traits. Model fit and out-of-sample stability should be reported.</x:v>
      </x:c>
      <x:c r="I283" s="43" t="str">
        <x:v>SRC193; SRC113</x:v>
      </x:c>
    </x:row>
    <x:row r="284" ht="58" customHeight="1">
      <x:c r="A284" s="43" t="str">
        <x:v>OP-PSY-0280</x:v>
      </x:c>
      <x:c r="B284" s="43" t="str">
        <x:v>PSY-094</x:v>
      </x:c>
      <x:c r="C284" s="43" t="str">
        <x:v>Behavioral Self-Identity</x:v>
      </x:c>
      <x:c r="D284" s="43" t="str">
        <x:v>Construct-specific assessment: Self-description</x:v>
      </x:c>
      <x:c r="E284" s="43" t="str">
        <x:v>Self-report / assessment</x:v>
      </x:c>
      <x:c r="F284" s="43" t="str">
        <x:v>Low–high behavior-specific identity scale</x:v>
      </x:c>
      <x:c r="G284" s="43" t="str">
        <x:v>Low</x:v>
      </x:c>
      <x:c r="H284" s="43" t="str">
        <x:v>Identity is multidimensional and context-sensitive; group labels do not reveal identification strength, content, or fusion. Use behavior-, target-, and time-specific wording and report reliability and invariance where relevant.</x:v>
      </x:c>
      <x:c r="I284" s="43" t="str">
        <x:v>SRC194; SRC130</x:v>
      </x:c>
    </x:row>
    <x:row r="285" ht="58" customHeight="1">
      <x:c r="A285" s="43" t="str">
        <x:v>OP-PSY-0281</x:v>
      </x:c>
      <x:c r="B285" s="43" t="str">
        <x:v>PSY-094</x:v>
      </x:c>
      <x:c r="C285" s="43" t="str">
        <x:v>Behavioral Self-Identity</x:v>
      </x:c>
      <x:c r="D285" s="43" t="str">
        <x:v>Behavioral or scenario-based indicator: identity-consistent choices</x:v>
      </x:c>
      <x:c r="E285" s="43" t="str">
        <x:v>Behavioral / clinical assessment</x:v>
      </x:c>
      <x:c r="F285" s="43" t="str">
        <x:v>Low–high behavior-specific identity scale</x:v>
      </x:c>
      <x:c r="G285" s="43" t="str">
        <x:v>Low</x:v>
      </x:c>
      <x:c r="H285" s="43" t="str">
        <x:v>Identity is multidimensional and context-sensitive; group labels do not reveal identification strength, content, or fusion. Behavioral manifestations are conditional and should be triangulated with construct-specific assessment.</x:v>
      </x:c>
      <x:c r="I285" s="43" t="str">
        <x:v>SRC194; SRC130</x:v>
      </x:c>
    </x:row>
    <x:row r="286" ht="58" customHeight="1">
      <x:c r="A286" s="43" t="str">
        <x:v>OP-PSY-0282</x:v>
      </x:c>
      <x:c r="B286" s="43" t="str">
        <x:v>PSY-094</x:v>
      </x:c>
      <x:c r="C286" s="43" t="str">
        <x:v>Behavioral Self-Identity</x:v>
      </x:c>
      <x:c r="D286" s="43" t="str">
        <x:v>Structured scenario or expert-coded elicitation for Behavioral Self-Identity</x:v>
      </x:c>
      <x:c r="E286" s="43" t="str">
        <x:v>Expert elicitation</x:v>
      </x:c>
      <x:c r="F286" s="43" t="str">
        <x:v>Anchored ordinal or continuous judgment with documented rubric</x:v>
      </x:c>
      <x:c r="G286" s="43" t="str">
        <x:v>Low</x:v>
      </x:c>
      <x:c r="H286" s="43" t="str">
        <x:v>Identity is multidimensional and context-sensitive; group labels do not reveal identification strength, content, or fusion. Expert inference should use multiple raters, explicit uncertainty, and evidence independent of the target outcome.</x:v>
      </x:c>
      <x:c r="I286" s="43" t="str">
        <x:v>SRC194; SRC130</x:v>
      </x:c>
    </x:row>
    <x:row r="287" ht="58" customHeight="1">
      <x:c r="A287" s="43" t="str">
        <x:v>OP-PSY-0283</x:v>
      </x:c>
      <x:c r="B287" s="43" t="str">
        <x:v>PSY-095</x:v>
      </x:c>
      <x:c r="C287" s="43" t="str">
        <x:v>Identity Salience</x:v>
      </x:c>
      <x:c r="D287" s="43" t="str">
        <x:v>Construct-specific assessment: Identity-language accessibility</x:v>
      </x:c>
      <x:c r="E287" s="43" t="str">
        <x:v>Self-report / assessment</x:v>
      </x:c>
      <x:c r="F287" s="43" t="str">
        <x:v>Low–high momentary salience; activation or accessibility index</x:v>
      </x:c>
      <x:c r="G287" s="43" t="str">
        <x:v>Moderate</x:v>
      </x:c>
      <x:c r="H287" s="43" t="str">
        <x:v>Identity is multidimensional and context-sensitive; group labels do not reveal identification strength, content, or fusion. Use behavior-, target-, and time-specific wording and report reliability and invariance where relevant.</x:v>
      </x:c>
      <x:c r="I287" s="43" t="str">
        <x:v>SRC159; SRC160</x:v>
      </x:c>
    </x:row>
    <x:row r="288" ht="58" customHeight="1">
      <x:c r="A288" s="43" t="str">
        <x:v>OP-PSY-0284</x:v>
      </x:c>
      <x:c r="B288" s="43" t="str">
        <x:v>PSY-095</x:v>
      </x:c>
      <x:c r="C288" s="43" t="str">
        <x:v>Identity Salience</x:v>
      </x:c>
      <x:c r="D288" s="43" t="str">
        <x:v>Behavioral or scenario-based indicator: self-categorization</x:v>
      </x:c>
      <x:c r="E288" s="43" t="str">
        <x:v>Behavioral / clinical assessment</x:v>
      </x:c>
      <x:c r="F288" s="43" t="str">
        <x:v>Low–high momentary salience; activation or accessibility index</x:v>
      </x:c>
      <x:c r="G288" s="43" t="str">
        <x:v>Moderate</x:v>
      </x:c>
      <x:c r="H288" s="43" t="str">
        <x:v>Identity is multidimensional and context-sensitive; group labels do not reveal identification strength, content, or fusion. Behavioral manifestations are conditional and should be triangulated with construct-specific assessment.</x:v>
      </x:c>
      <x:c r="I288" s="43" t="str">
        <x:v>SRC159; SRC160</x:v>
      </x:c>
    </x:row>
    <x:row r="289" ht="58" customHeight="1">
      <x:c r="A289" s="43" t="str">
        <x:v>OP-PSY-0285</x:v>
      </x:c>
      <x:c r="B289" s="43" t="str">
        <x:v>PSY-095</x:v>
      </x:c>
      <x:c r="C289" s="43" t="str">
        <x:v>Identity Salience</x:v>
      </x:c>
      <x:c r="D289" s="43" t="str">
        <x:v>Structured scenario or expert-coded elicitation for Identity Salience</x:v>
      </x:c>
      <x:c r="E289" s="43" t="str">
        <x:v>Expert elicitation</x:v>
      </x:c>
      <x:c r="F289" s="43" t="str">
        <x:v>Anchored ordinal or continuous judgment with documented rubric</x:v>
      </x:c>
      <x:c r="G289" s="43" t="str">
        <x:v>Moderate</x:v>
      </x:c>
      <x:c r="H289" s="43" t="str">
        <x:v>Identity is multidimensional and context-sensitive; group labels do not reveal identification strength, content, or fusion. Expert inference should use multiple raters, explicit uncertainty, and evidence independent of the target outcome.</x:v>
      </x:c>
      <x:c r="I289" s="43" t="str">
        <x:v>SRC159; SRC160</x:v>
      </x:c>
    </x:row>
    <x:row r="290" ht="58" customHeight="1">
      <x:c r="A290" s="43" t="str">
        <x:v>OP-PSY-0286</x:v>
      </x:c>
      <x:c r="B290" s="43" t="str">
        <x:v>PSY-096</x:v>
      </x:c>
      <x:c r="C290" s="43" t="str">
        <x:v>Identity Centrality</x:v>
      </x:c>
      <x:c r="D290" s="43" t="str">
        <x:v>Construct-specific assessment: Importance ratings</x:v>
      </x:c>
      <x:c r="E290" s="43" t="str">
        <x:v>Self-report / assessment</x:v>
      </x:c>
      <x:c r="F290" s="43" t="str">
        <x:v>Low–high identity-centrality scale</x:v>
      </x:c>
      <x:c r="G290" s="43" t="str">
        <x:v>Low</x:v>
      </x:c>
      <x:c r="H290" s="43" t="str">
        <x:v>Identity is multidimensional and context-sensitive; group labels do not reveal identification strength, content, or fusion. Use behavior-, target-, and time-specific wording and report reliability and invariance where relevant.</x:v>
      </x:c>
      <x:c r="I290" s="43" t="str">
        <x:v>SRC159; SRC194</x:v>
      </x:c>
    </x:row>
    <x:row r="291" ht="58" customHeight="1">
      <x:c r="A291" s="43" t="str">
        <x:v>OP-PSY-0287</x:v>
      </x:c>
      <x:c r="B291" s="43" t="str">
        <x:v>PSY-096</x:v>
      </x:c>
      <x:c r="C291" s="43" t="str">
        <x:v>Identity Centrality</x:v>
      </x:c>
      <x:c r="D291" s="43" t="str">
        <x:v>Behavioral or scenario-based indicator: cross-context identity use</x:v>
      </x:c>
      <x:c r="E291" s="43" t="str">
        <x:v>Behavioral / clinical assessment</x:v>
      </x:c>
      <x:c r="F291" s="43" t="str">
        <x:v>Low–high identity-centrality scale</x:v>
      </x:c>
      <x:c r="G291" s="43" t="str">
        <x:v>Low</x:v>
      </x:c>
      <x:c r="H291" s="43" t="str">
        <x:v>Identity is multidimensional and context-sensitive; group labels do not reveal identification strength, content, or fusion. Behavioral manifestations are conditional and should be triangulated with construct-specific assessment.</x:v>
      </x:c>
      <x:c r="I291" s="43" t="str">
        <x:v>SRC159; SRC194</x:v>
      </x:c>
    </x:row>
    <x:row r="292" ht="58" customHeight="1">
      <x:c r="A292" s="43" t="str">
        <x:v>OP-PSY-0288</x:v>
      </x:c>
      <x:c r="B292" s="43" t="str">
        <x:v>PSY-096</x:v>
      </x:c>
      <x:c r="C292" s="43" t="str">
        <x:v>Identity Centrality</x:v>
      </x:c>
      <x:c r="D292" s="43" t="str">
        <x:v>Structured scenario or expert-coded elicitation for Identity Centrality</x:v>
      </x:c>
      <x:c r="E292" s="43" t="str">
        <x:v>Expert elicitation</x:v>
      </x:c>
      <x:c r="F292" s="43" t="str">
        <x:v>Anchored ordinal or continuous judgment with documented rubric</x:v>
      </x:c>
      <x:c r="G292" s="43" t="str">
        <x:v>Low</x:v>
      </x:c>
      <x:c r="H292" s="43" t="str">
        <x:v>Identity is multidimensional and context-sensitive; group labels do not reveal identification strength, content, or fusion. Expert inference should use multiple raters, explicit uncertainty, and evidence independent of the target outcome.</x:v>
      </x:c>
      <x:c r="I292" s="43" t="str">
        <x:v>SRC159; SRC194</x:v>
      </x:c>
    </x:row>
    <x:row r="293" ht="58" customHeight="1">
      <x:c r="A293" s="43" t="str">
        <x:v>OP-PSY-0289</x:v>
      </x:c>
      <x:c r="B293" s="43" t="str">
        <x:v>PSY-097</x:v>
      </x:c>
      <x:c r="C293" s="43" t="str">
        <x:v>Social Identification Strength</x:v>
      </x:c>
      <x:c r="D293" s="43" t="str">
        <x:v>Construct-specific assessment: Identification scale</x:v>
      </x:c>
      <x:c r="E293" s="43" t="str">
        <x:v>Self-report / assessment</x:v>
      </x:c>
      <x:c r="F293" s="43" t="str">
        <x:v>Centrality, solidarity, satisfaction, and self-stereotyping profile</x:v>
      </x:c>
      <x:c r="G293" s="43" t="str">
        <x:v>Low</x:v>
      </x:c>
      <x:c r="H293" s="43" t="str">
        <x:v>Identity is multidimensional and context-sensitive; group labels do not reveal identification strength, content, or fusion. Use behavior-, target-, and time-specific wording and report reliability and invariance where relevant.</x:v>
      </x:c>
      <x:c r="I293" s="43" t="str">
        <x:v>SRC160; SRC161</x:v>
      </x:c>
    </x:row>
    <x:row r="294" ht="58" customHeight="1">
      <x:c r="A294" s="43" t="str">
        <x:v>OP-PSY-0290</x:v>
      </x:c>
      <x:c r="B294" s="43" t="str">
        <x:v>PSY-097</x:v>
      </x:c>
      <x:c r="C294" s="43" t="str">
        <x:v>Social Identification Strength</x:v>
      </x:c>
      <x:c r="D294" s="43" t="str">
        <x:v>Behavioral or scenario-based indicator: group-referent self-description</x:v>
      </x:c>
      <x:c r="E294" s="43" t="str">
        <x:v>Behavioral / clinical assessment</x:v>
      </x:c>
      <x:c r="F294" s="43" t="str">
        <x:v>Centrality, solidarity, satisfaction, and self-stereotyping profile</x:v>
      </x:c>
      <x:c r="G294" s="43" t="str">
        <x:v>Low</x:v>
      </x:c>
      <x:c r="H294" s="43" t="str">
        <x:v>Identity is multidimensional and context-sensitive; group labels do not reveal identification strength, content, or fusion. Behavioral manifestations are conditional and should be triangulated with construct-specific assessment.</x:v>
      </x:c>
      <x:c r="I294" s="43" t="str">
        <x:v>SRC160; SRC161</x:v>
      </x:c>
    </x:row>
    <x:row r="295" ht="58" customHeight="1">
      <x:c r="A295" s="43" t="str">
        <x:v>OP-PSY-0291</x:v>
      </x:c>
      <x:c r="B295" s="43" t="str">
        <x:v>PSY-097</x:v>
      </x:c>
      <x:c r="C295" s="43" t="str">
        <x:v>Social Identification Strength</x:v>
      </x:c>
      <x:c r="D295" s="43" t="str">
        <x:v>Structured scenario or expert-coded elicitation for Social Identification Strength</x:v>
      </x:c>
      <x:c r="E295" s="43" t="str">
        <x:v>Expert elicitation</x:v>
      </x:c>
      <x:c r="F295" s="43" t="str">
        <x:v>Anchored ordinal or continuous judgment with documented rubric</x:v>
      </x:c>
      <x:c r="G295" s="43" t="str">
        <x:v>Low</x:v>
      </x:c>
      <x:c r="H295" s="43" t="str">
        <x:v>Identity is multidimensional and context-sensitive; group labels do not reveal identification strength, content, or fusion. Expert inference should use multiple raters, explicit uncertainty, and evidence independent of the target outcome.</x:v>
      </x:c>
      <x:c r="I295" s="43" t="str">
        <x:v>SRC160; SRC161</x:v>
      </x:c>
    </x:row>
    <x:row r="296" ht="58" customHeight="1">
      <x:c r="A296" s="43" t="str">
        <x:v>OP-PSY-0292</x:v>
      </x:c>
      <x:c r="B296" s="43" t="str">
        <x:v>PSY-098</x:v>
      </x:c>
      <x:c r="C296" s="43" t="str">
        <x:v>Identity Fusion</x:v>
      </x:c>
      <x:c r="D296" s="43" t="str">
        <x:v>Construct-specific assessment: Fusion scale</x:v>
      </x:c>
      <x:c r="E296" s="43" t="str">
        <x:v>Self-report / assessment</x:v>
      </x:c>
      <x:c r="F296" s="43" t="str">
        <x:v>Low–high verbal or pictorial fusion scale</x:v>
      </x:c>
      <x:c r="G296" s="43" t="str">
        <x:v>Low</x:v>
      </x:c>
      <x:c r="H296" s="43" t="str">
        <x:v>Identity is multidimensional and context-sensitive; group labels do not reveal identification strength, content, or fusion. Use behavior-, target-, and time-specific wording and report reliability and invariance where relevant.</x:v>
      </x:c>
      <x:c r="I296" s="43" t="str">
        <x:v>SRC159; SRC161</x:v>
      </x:c>
    </x:row>
    <x:row r="297" ht="58" customHeight="1">
      <x:c r="A297" s="43" t="str">
        <x:v>OP-PSY-0293</x:v>
      </x:c>
      <x:c r="B297" s="43" t="str">
        <x:v>PSY-098</x:v>
      </x:c>
      <x:c r="C297" s="43" t="str">
        <x:v>Identity Fusion</x:v>
      </x:c>
      <x:c r="D297" s="43" t="str">
        <x:v>Behavioral or scenario-based indicator: sacrifice endorsement</x:v>
      </x:c>
      <x:c r="E297" s="43" t="str">
        <x:v>Behavioral / clinical assessment</x:v>
      </x:c>
      <x:c r="F297" s="43" t="str">
        <x:v>Low–high verbal or pictorial fusion scale</x:v>
      </x:c>
      <x:c r="G297" s="43" t="str">
        <x:v>Low</x:v>
      </x:c>
      <x:c r="H297" s="43" t="str">
        <x:v>Identity is multidimensional and context-sensitive; group labels do not reveal identification strength, content, or fusion. Behavioral manifestations are conditional and should be triangulated with construct-specific assessment.</x:v>
      </x:c>
      <x:c r="I297" s="43" t="str">
        <x:v>SRC159; SRC161</x:v>
      </x:c>
    </x:row>
    <x:row r="298" ht="58" customHeight="1">
      <x:c r="A298" s="43" t="str">
        <x:v>OP-PSY-0294</x:v>
      </x:c>
      <x:c r="B298" s="43" t="str">
        <x:v>PSY-098</x:v>
      </x:c>
      <x:c r="C298" s="43" t="str">
        <x:v>Identity Fusion</x:v>
      </x:c>
      <x:c r="D298" s="43" t="str">
        <x:v>Structured scenario or expert-coded elicitation for Identity Fusion</x:v>
      </x:c>
      <x:c r="E298" s="43" t="str">
        <x:v>Expert elicitation</x:v>
      </x:c>
      <x:c r="F298" s="43" t="str">
        <x:v>Anchored ordinal or continuous judgment with documented rubric</x:v>
      </x:c>
      <x:c r="G298" s="43" t="str">
        <x:v>Low</x:v>
      </x:c>
      <x:c r="H298" s="43" t="str">
        <x:v>Identity is multidimensional and context-sensitive; group labels do not reveal identification strength, content, or fusion. Expert inference should use multiple raters, explicit uncertainty, and evidence independent of the target outcome.</x:v>
      </x:c>
      <x:c r="I298" s="43" t="str">
        <x:v>SRC159; SRC161</x:v>
      </x:c>
    </x:row>
    <x:row r="299" ht="58" customHeight="1">
      <x:c r="A299" s="43" t="str">
        <x:v>OP-PSY-0295</x:v>
      </x:c>
      <x:c r="B299" s="43" t="str">
        <x:v>PSY-099</x:v>
      </x:c>
      <x:c r="C299" s="43" t="str">
        <x:v>Self-Concept Clarity</x:v>
      </x:c>
      <x:c r="D299" s="43" t="str">
        <x:v>Construct-specific assessment: Clarity scale</x:v>
      </x:c>
      <x:c r="E299" s="43" t="str">
        <x:v>Self-report / assessment</x:v>
      </x:c>
      <x:c r="F299" s="43" t="str">
        <x:v>Low–high self-concept clarity scale</x:v>
      </x:c>
      <x:c r="G299" s="43" t="str">
        <x:v>Low</x:v>
      </x:c>
      <x:c r="H299" s="43" t="str">
        <x:v>Identity is multidimensional and context-sensitive; group labels do not reveal identification strength, content, or fusion. Use behavior-, target-, and time-specific wording and report reliability and invariance where relevant.</x:v>
      </x:c>
      <x:c r="I299" s="43" t="str">
        <x:v>SRC195; SRC194</x:v>
      </x:c>
    </x:row>
    <x:row r="300" ht="58" customHeight="1">
      <x:c r="A300" s="43" t="str">
        <x:v>OP-PSY-0296</x:v>
      </x:c>
      <x:c r="B300" s="43" t="str">
        <x:v>PSY-099</x:v>
      </x:c>
      <x:c r="C300" s="43" t="str">
        <x:v>Self-Concept Clarity</x:v>
      </x:c>
      <x:c r="D300" s="43" t="str">
        <x:v>Behavioral or scenario-based indicator: self-description consistency</x:v>
      </x:c>
      <x:c r="E300" s="43" t="str">
        <x:v>Behavioral / clinical assessment</x:v>
      </x:c>
      <x:c r="F300" s="43" t="str">
        <x:v>Low–high self-concept clarity scale</x:v>
      </x:c>
      <x:c r="G300" s="43" t="str">
        <x:v>Low</x:v>
      </x:c>
      <x:c r="H300" s="43" t="str">
        <x:v>Identity is multidimensional and context-sensitive; group labels do not reveal identification strength, content, or fusion. Behavioral manifestations are conditional and should be triangulated with construct-specific assessment.</x:v>
      </x:c>
      <x:c r="I300" s="43" t="str">
        <x:v>SRC195; SRC194</x:v>
      </x:c>
    </x:row>
    <x:row r="301" ht="58" customHeight="1">
      <x:c r="A301" s="43" t="str">
        <x:v>OP-PSY-0297</x:v>
      </x:c>
      <x:c r="B301" s="43" t="str">
        <x:v>PSY-099</x:v>
      </x:c>
      <x:c r="C301" s="43" t="str">
        <x:v>Self-Concept Clarity</x:v>
      </x:c>
      <x:c r="D301" s="43" t="str">
        <x:v>Structured scenario or expert-coded elicitation for Self-Concept Clarity</x:v>
      </x:c>
      <x:c r="E301" s="43" t="str">
        <x:v>Expert elicitation</x:v>
      </x:c>
      <x:c r="F301" s="43" t="str">
        <x:v>Anchored ordinal or continuous judgment with documented rubric</x:v>
      </x:c>
      <x:c r="G301" s="43" t="str">
        <x:v>Low</x:v>
      </x:c>
      <x:c r="H301" s="43" t="str">
        <x:v>Identity is multidimensional and context-sensitive; group labels do not reveal identification strength, content, or fusion. Expert inference should use multiple raters, explicit uncertainty, and evidence independent of the target outcome.</x:v>
      </x:c>
      <x:c r="I301" s="43" t="str">
        <x:v>SRC195; SRC194</x:v>
      </x:c>
    </x:row>
    <x:row r="302" ht="58" customHeight="1">
      <x:c r="A302" s="43" t="str">
        <x:v>OP-PSY-0298</x:v>
      </x:c>
      <x:c r="B302" s="43" t="str">
        <x:v>PSY-100</x:v>
      </x:c>
      <x:c r="C302" s="43" t="str">
        <x:v>Self-Integrity Threat</x:v>
      </x:c>
      <x:c r="D302" s="43" t="str">
        <x:v>Construct-specific assessment: Defensive dismissal</x:v>
      </x:c>
      <x:c r="E302" s="43" t="str">
        <x:v>Self-report / assessment</x:v>
      </x:c>
      <x:c r="F302" s="43" t="str">
        <x:v>Low–high threat; event-specific defensiveness index</x:v>
      </x:c>
      <x:c r="G302" s="43" t="str">
        <x:v>Moderate</x:v>
      </x:c>
      <x:c r="H302" s="43" t="str">
        <x:v>Identity is multidimensional and context-sensitive; group labels do not reveal identification strength, content, or fusion. Use behavior-, target-, and time-specific wording and report reliability and invariance where relevant.</x:v>
      </x:c>
      <x:c r="I302" s="43" t="str">
        <x:v>SRC129; SRC158</x:v>
      </x:c>
    </x:row>
    <x:row r="303" ht="58" customHeight="1">
      <x:c r="A303" s="43" t="str">
        <x:v>OP-PSY-0299</x:v>
      </x:c>
      <x:c r="B303" s="43" t="str">
        <x:v>PSY-100</x:v>
      </x:c>
      <x:c r="C303" s="43" t="str">
        <x:v>Self-Integrity Threat</x:v>
      </x:c>
      <x:c r="D303" s="43" t="str">
        <x:v>Behavioral or scenario-based indicator: threat rating</x:v>
      </x:c>
      <x:c r="E303" s="43" t="str">
        <x:v>Behavioral / clinical assessment</x:v>
      </x:c>
      <x:c r="F303" s="43" t="str">
        <x:v>Low–high threat; event-specific defensiveness index</x:v>
      </x:c>
      <x:c r="G303" s="43" t="str">
        <x:v>Moderate</x:v>
      </x:c>
      <x:c r="H303" s="43" t="str">
        <x:v>Identity is multidimensional and context-sensitive; group labels do not reveal identification strength, content, or fusion. Behavioral manifestations are conditional and should be triangulated with construct-specific assessment.</x:v>
      </x:c>
      <x:c r="I303" s="43" t="str">
        <x:v>SRC129; SRC158</x:v>
      </x:c>
    </x:row>
    <x:row r="304" ht="58" customHeight="1">
      <x:c r="A304" s="43" t="str">
        <x:v>OP-PSY-0300</x:v>
      </x:c>
      <x:c r="B304" s="43" t="str">
        <x:v>PSY-100</x:v>
      </x:c>
      <x:c r="C304" s="43" t="str">
        <x:v>Self-Integrity Threat</x:v>
      </x:c>
      <x:c r="D304" s="43" t="str">
        <x:v>Structured scenario or expert-coded elicitation for Self-Integrity Threat</x:v>
      </x:c>
      <x:c r="E304" s="43" t="str">
        <x:v>Expert elicitation</x:v>
      </x:c>
      <x:c r="F304" s="43" t="str">
        <x:v>Anchored ordinal or continuous judgment with documented rubric</x:v>
      </x:c>
      <x:c r="G304" s="43" t="str">
        <x:v>Moderate</x:v>
      </x:c>
      <x:c r="H304" s="43" t="str">
        <x:v>Identity is multidimensional and context-sensitive; group labels do not reveal identification strength, content, or fusion. Expert inference should use multiple raters, explicit uncertainty, and evidence independent of the target outcome.</x:v>
      </x:c>
      <x:c r="I304" s="43" t="str">
        <x:v>SRC129; SRC158</x:v>
      </x:c>
    </x:row>
    <x:row r="305" ht="58" customHeight="1">
      <x:c r="A305" s="43" t="str">
        <x:v>OP-PSY-0301</x:v>
      </x:c>
      <x:c r="B305" s="43" t="str">
        <x:v>PSY-101</x:v>
      </x:c>
      <x:c r="C305" s="43" t="str">
        <x:v>Perceived Identity Threat</x:v>
      </x:c>
      <x:c r="D305" s="43" t="str">
        <x:v>Construct-specific assessment: Threat rating</x:v>
      </x:c>
      <x:c r="E305" s="43" t="str">
        <x:v>Self-report / assessment</x:v>
      </x:c>
      <x:c r="F305" s="43" t="str">
        <x:v>Low–high identity-threat rating</x:v>
      </x:c>
      <x:c r="G305" s="43" t="str">
        <x:v>Moderate</x:v>
      </x:c>
      <x:c r="H305" s="43" t="str">
        <x:v>Identity is multidimensional and context-sensitive; group labels do not reveal identification strength, content, or fusion. Use behavior-, target-, and time-specific wording and report reliability and invariance where relevant.</x:v>
      </x:c>
      <x:c r="I305" s="43" t="str">
        <x:v>SRC160; SRC161</x:v>
      </x:c>
    </x:row>
    <x:row r="306" ht="58" customHeight="1">
      <x:c r="A306" s="43" t="str">
        <x:v>OP-PSY-0302</x:v>
      </x:c>
      <x:c r="B306" s="43" t="str">
        <x:v>PSY-101</x:v>
      </x:c>
      <x:c r="C306" s="43" t="str">
        <x:v>Perceived Identity Threat</x:v>
      </x:c>
      <x:c r="D306" s="43" t="str">
        <x:v>Behavioral or scenario-based indicator: identity defense</x:v>
      </x:c>
      <x:c r="E306" s="43" t="str">
        <x:v>Behavioral / clinical assessment</x:v>
      </x:c>
      <x:c r="F306" s="43" t="str">
        <x:v>Low–high identity-threat rating</x:v>
      </x:c>
      <x:c r="G306" s="43" t="str">
        <x:v>Moderate</x:v>
      </x:c>
      <x:c r="H306" s="43" t="str">
        <x:v>Identity is multidimensional and context-sensitive; group labels do not reveal identification strength, content, or fusion. Behavioral manifestations are conditional and should be triangulated with construct-specific assessment.</x:v>
      </x:c>
      <x:c r="I306" s="43" t="str">
        <x:v>SRC160; SRC161</x:v>
      </x:c>
    </x:row>
    <x:row r="307" ht="58" customHeight="1">
      <x:c r="A307" s="43" t="str">
        <x:v>OP-PSY-0303</x:v>
      </x:c>
      <x:c r="B307" s="43" t="str">
        <x:v>PSY-101</x:v>
      </x:c>
      <x:c r="C307" s="43" t="str">
        <x:v>Perceived Identity Threat</x:v>
      </x:c>
      <x:c r="D307" s="43" t="str">
        <x:v>Structured scenario or expert-coded elicitation for Perceived Identity Threat</x:v>
      </x:c>
      <x:c r="E307" s="43" t="str">
        <x:v>Expert elicitation</x:v>
      </x:c>
      <x:c r="F307" s="43" t="str">
        <x:v>Anchored ordinal or continuous judgment with documented rubric</x:v>
      </x:c>
      <x:c r="G307" s="43" t="str">
        <x:v>Moderate</x:v>
      </x:c>
      <x:c r="H307" s="43" t="str">
        <x:v>Identity is multidimensional and context-sensitive; group labels do not reveal identification strength, content, or fusion. Expert inference should use multiple raters, explicit uncertainty, and evidence independent of the target outcome.</x:v>
      </x:c>
      <x:c r="I307" s="43" t="str">
        <x:v>SRC160; SRC161</x:v>
      </x:c>
    </x:row>
    <x:row r="308" ht="58" customHeight="1">
      <x:c r="A308" s="43" t="str">
        <x:v>OP-PSY-0304</x:v>
      </x:c>
      <x:c r="B308" s="43" t="str">
        <x:v>PSY-102</x:v>
      </x:c>
      <x:c r="C308" s="43" t="str">
        <x:v>Dissonance Magnitude</x:v>
      </x:c>
      <x:c r="D308" s="43" t="str">
        <x:v>Construct-specific assessment: Discomfort</x:v>
      </x:c>
      <x:c r="E308" s="43" t="str">
        <x:v>Self-report / assessment</x:v>
      </x:c>
      <x:c r="F308" s="43" t="str">
        <x:v>None–high dissonance; discrepancy and discomfort ratings</x:v>
      </x:c>
      <x:c r="G308" s="43" t="str">
        <x:v>Moderate</x:v>
      </x:c>
      <x:c r="H308" s="43" t="str">
        <x:v>Identity is multidimensional and context-sensitive; group labels do not reveal identification strength, content, or fusion. Use behavior-, target-, and time-specific wording and report reliability and invariance where relevant.</x:v>
      </x:c>
      <x:c r="I308" s="43" t="str">
        <x:v>SRC127; SRC196</x:v>
      </x:c>
    </x:row>
    <x:row r="309" ht="58" customHeight="1">
      <x:c r="A309" s="43" t="str">
        <x:v>OP-PSY-0305</x:v>
      </x:c>
      <x:c r="B309" s="43" t="str">
        <x:v>PSY-102</x:v>
      </x:c>
      <x:c r="C309" s="43" t="str">
        <x:v>Dissonance Magnitude</x:v>
      </x:c>
      <x:c r="D309" s="43" t="str">
        <x:v>Behavioral or scenario-based indicator: justification</x:v>
      </x:c>
      <x:c r="E309" s="43" t="str">
        <x:v>Behavioral / clinical assessment</x:v>
      </x:c>
      <x:c r="F309" s="43" t="str">
        <x:v>None–high dissonance; discrepancy and discomfort ratings</x:v>
      </x:c>
      <x:c r="G309" s="43" t="str">
        <x:v>Moderate</x:v>
      </x:c>
      <x:c r="H309" s="43" t="str">
        <x:v>Identity is multidimensional and context-sensitive; group labels do not reveal identification strength, content, or fusion. Behavioral manifestations are conditional and should be triangulated with construct-specific assessment.</x:v>
      </x:c>
      <x:c r="I309" s="43" t="str">
        <x:v>SRC127; SRC196</x:v>
      </x:c>
    </x:row>
    <x:row r="310" ht="58" customHeight="1">
      <x:c r="A310" s="43" t="str">
        <x:v>OP-PSY-0306</x:v>
      </x:c>
      <x:c r="B310" s="43" t="str">
        <x:v>PSY-102</x:v>
      </x:c>
      <x:c r="C310" s="43" t="str">
        <x:v>Dissonance Magnitude</x:v>
      </x:c>
      <x:c r="D310" s="43" t="str">
        <x:v>Structured scenario or expert-coded elicitation for Dissonance Magnitude</x:v>
      </x:c>
      <x:c r="E310" s="43" t="str">
        <x:v>Expert elicitation</x:v>
      </x:c>
      <x:c r="F310" s="43" t="str">
        <x:v>Anchored ordinal or continuous judgment with documented rubric</x:v>
      </x:c>
      <x:c r="G310" s="43" t="str">
        <x:v>Moderate</x:v>
      </x:c>
      <x:c r="H310" s="43" t="str">
        <x:v>Identity is multidimensional and context-sensitive; group labels do not reveal identification strength, content, or fusion. Expert inference should use multiple raters, explicit uncertainty, and evidence independent of the target outcome.</x:v>
      </x:c>
      <x:c r="I310" s="43" t="str">
        <x:v>SRC127; SRC196</x:v>
      </x:c>
    </x:row>
    <x:row r="311" ht="58" customHeight="1">
      <x:c r="A311" s="43" t="str">
        <x:v>OP-PSY-0307</x:v>
      </x:c>
      <x:c r="B311" s="43" t="str">
        <x:v>PSY-103</x:v>
      </x:c>
      <x:c r="C311" s="43" t="str">
        <x:v>Moral Identity Centrality</x:v>
      </x:c>
      <x:c r="D311" s="43" t="str">
        <x:v>Construct-specific assessment: Moral-identity scale</x:v>
      </x:c>
      <x:c r="E311" s="43" t="str">
        <x:v>Self-report / assessment</x:v>
      </x:c>
      <x:c r="F311" s="43" t="str">
        <x:v>Low–high moral-identity internalization scale</x:v>
      </x:c>
      <x:c r="G311" s="43" t="str">
        <x:v>Low</x:v>
      </x:c>
      <x:c r="H311" s="43" t="str">
        <x:v>Identity is multidimensional and context-sensitive; group labels do not reveal identification strength, content, or fusion. Use behavior-, target-, and time-specific wording and report reliability and invariance where relevant.</x:v>
      </x:c>
      <x:c r="I311" s="43" t="str">
        <x:v>SRC130</x:v>
      </x:c>
    </x:row>
    <x:row r="312" ht="58" customHeight="1">
      <x:c r="A312" s="43" t="str">
        <x:v>OP-PSY-0308</x:v>
      </x:c>
      <x:c r="B312" s="43" t="str">
        <x:v>PSY-103</x:v>
      </x:c>
      <x:c r="C312" s="43" t="str">
        <x:v>Moral Identity Centrality</x:v>
      </x:c>
      <x:c r="D312" s="43" t="str">
        <x:v>Behavioral or scenario-based indicator: moral self-description</x:v>
      </x:c>
      <x:c r="E312" s="43" t="str">
        <x:v>Behavioral / clinical assessment</x:v>
      </x:c>
      <x:c r="F312" s="43" t="str">
        <x:v>Low–high moral-identity internalization scale</x:v>
      </x:c>
      <x:c r="G312" s="43" t="str">
        <x:v>Low</x:v>
      </x:c>
      <x:c r="H312" s="43" t="str">
        <x:v>Identity is multidimensional and context-sensitive; group labels do not reveal identification strength, content, or fusion. Behavioral manifestations are conditional and should be triangulated with construct-specific assessment.</x:v>
      </x:c>
      <x:c r="I312" s="43" t="str">
        <x:v>SRC130</x:v>
      </x:c>
    </x:row>
    <x:row r="313" ht="58" customHeight="1">
      <x:c r="A313" s="43" t="str">
        <x:v>OP-PSY-0309</x:v>
      </x:c>
      <x:c r="B313" s="43" t="str">
        <x:v>PSY-103</x:v>
      </x:c>
      <x:c r="C313" s="43" t="str">
        <x:v>Moral Identity Centrality</x:v>
      </x:c>
      <x:c r="D313" s="43" t="str">
        <x:v>Structured scenario or expert-coded elicitation for Moral Identity Centrality</x:v>
      </x:c>
      <x:c r="E313" s="43" t="str">
        <x:v>Expert elicitation</x:v>
      </x:c>
      <x:c r="F313" s="43" t="str">
        <x:v>Anchored ordinal or continuous judgment with documented rubric</x:v>
      </x:c>
      <x:c r="G313" s="43" t="str">
        <x:v>Low</x:v>
      </x:c>
      <x:c r="H313" s="43" t="str">
        <x:v>Identity is multidimensional and context-sensitive; group labels do not reveal identification strength, content, or fusion. Expert inference should use multiple raters, explicit uncertainty, and evidence independent of the target outcome.</x:v>
      </x:c>
      <x:c r="I313" s="43" t="str">
        <x:v>SRC130</x:v>
      </x:c>
    </x:row>
    <x:row r="314" ht="58" customHeight="1">
      <x:c r="A314" s="43" t="str">
        <x:v>OP-PSY-0310</x:v>
      </x:c>
      <x:c r="B314" s="43" t="str">
        <x:v>PSY-104</x:v>
      </x:c>
      <x:c r="C314" s="43" t="str">
        <x:v>Perceived Agency</x:v>
      </x:c>
      <x:c r="D314" s="43" t="str">
        <x:v>Construct-specific assessment: Agency rating</x:v>
      </x:c>
      <x:c r="E314" s="43" t="str">
        <x:v>Self-report / assessment</x:v>
      </x:c>
      <x:c r="F314" s="43" t="str">
        <x:v>Low–high sense-of-agency rating; action-effect binding measure</x:v>
      </x:c>
      <x:c r="G314" s="43" t="str">
        <x:v>Moderate</x:v>
      </x:c>
      <x:c r="H314" s="43" t="str">
        <x:v>Judgments vary with framing, culture, actor identity, outcome information, and distinctions among causation, intent, and responsibility. Use behavior-, target-, and time-specific wording and report reliability and invariance where relevant.</x:v>
      </x:c>
      <x:c r="I314" s="43" t="str">
        <x:v>SRC197; SRC111</x:v>
      </x:c>
    </x:row>
    <x:row r="315" ht="58" customHeight="1">
      <x:c r="A315" s="43" t="str">
        <x:v>OP-PSY-0311</x:v>
      </x:c>
      <x:c r="B315" s="43" t="str">
        <x:v>PSY-104</x:v>
      </x:c>
      <x:c r="C315" s="43" t="str">
        <x:v>Perceived Agency</x:v>
      </x:c>
      <x:c r="D315" s="43" t="str">
        <x:v>Behavioral or scenario-based indicator: action-effect prediction</x:v>
      </x:c>
      <x:c r="E315" s="43" t="str">
        <x:v>Behavioral / clinical assessment</x:v>
      </x:c>
      <x:c r="F315" s="43" t="str">
        <x:v>Low–high sense-of-agency rating; action-effect binding measure</x:v>
      </x:c>
      <x:c r="G315" s="43" t="str">
        <x:v>Moderate</x:v>
      </x:c>
      <x:c r="H315" s="43" t="str">
        <x:v>Judgments vary with framing, culture, actor identity, outcome information, and distinctions among causation, intent, and responsibility. Behavioral manifestations are conditional and should be triangulated with construct-specific assessment.</x:v>
      </x:c>
      <x:c r="I315" s="43" t="str">
        <x:v>SRC197; SRC111</x:v>
      </x:c>
    </x:row>
    <x:row r="316" ht="58" customHeight="1">
      <x:c r="A316" s="43" t="str">
        <x:v>OP-PSY-0312</x:v>
      </x:c>
      <x:c r="B316" s="43" t="str">
        <x:v>PSY-104</x:v>
      </x:c>
      <x:c r="C316" s="43" t="str">
        <x:v>Perceived Agency</x:v>
      </x:c>
      <x:c r="D316" s="43" t="str">
        <x:v>Structured scenario or expert-coded elicitation for Perceived Agency</x:v>
      </x:c>
      <x:c r="E316" s="43" t="str">
        <x:v>Expert elicitation</x:v>
      </x:c>
      <x:c r="F316" s="43" t="str">
        <x:v>Anchored ordinal or continuous judgment with documented rubric</x:v>
      </x:c>
      <x:c r="G316" s="43" t="str">
        <x:v>Moderate</x:v>
      </x:c>
      <x:c r="H316" s="43" t="str">
        <x:v>Judgments vary with framing, culture, actor identity, outcome information, and distinctions among causation, intent, and responsibility. Expert inference should use multiple raters, explicit uncertainty, and evidence independent of the target outcome.</x:v>
      </x:c>
      <x:c r="I316" s="43" t="str">
        <x:v>SRC197; SRC111</x:v>
      </x:c>
    </x:row>
    <x:row r="317" ht="58" customHeight="1">
      <x:c r="A317" s="43" t="str">
        <x:v>OP-PSY-0313</x:v>
      </x:c>
      <x:c r="B317" s="43" t="str">
        <x:v>PSY-105</x:v>
      </x:c>
      <x:c r="C317" s="43" t="str">
        <x:v>Responsibility Attribution</x:v>
      </x:c>
      <x:c r="D317" s="43" t="str">
        <x:v>Construct-specific assessment: Responsibility rating</x:v>
      </x:c>
      <x:c r="E317" s="43" t="str">
        <x:v>Self-report / assessment</x:v>
      </x:c>
      <x:c r="F317" s="43" t="str">
        <x:v>0–100% responsibility; low–high judgment</x:v>
      </x:c>
      <x:c r="G317" s="43" t="str">
        <x:v>Moderate</x:v>
      </x:c>
      <x:c r="H317" s="43" t="str">
        <x:v>Judgments vary with framing, culture, actor identity, outcome information, and distinctions among causation, intent, and responsibility. Use behavior-, target-, and time-specific wording and report reliability and invariance where relevant.</x:v>
      </x:c>
      <x:c r="I317" s="43" t="str">
        <x:v>SRC198</x:v>
      </x:c>
    </x:row>
    <x:row r="318" ht="58" customHeight="1">
      <x:c r="A318" s="43" t="str">
        <x:v>OP-PSY-0314</x:v>
      </x:c>
      <x:c r="B318" s="43" t="str">
        <x:v>PSY-105</x:v>
      </x:c>
      <x:c r="C318" s="43" t="str">
        <x:v>Responsibility Attribution</x:v>
      </x:c>
      <x:c r="D318" s="43" t="str">
        <x:v>Behavioral or scenario-based indicator: blame</x:v>
      </x:c>
      <x:c r="E318" s="43" t="str">
        <x:v>Behavioral / clinical assessment</x:v>
      </x:c>
      <x:c r="F318" s="43" t="str">
        <x:v>0–100% responsibility; low–high judgment</x:v>
      </x:c>
      <x:c r="G318" s="43" t="str">
        <x:v>Moderate</x:v>
      </x:c>
      <x:c r="H318" s="43" t="str">
        <x:v>Judgments vary with framing, culture, actor identity, outcome information, and distinctions among causation, intent, and responsibility. Behavioral manifestations are conditional and should be triangulated with construct-specific assessment.</x:v>
      </x:c>
      <x:c r="I318" s="43" t="str">
        <x:v>SRC198</x:v>
      </x:c>
    </x:row>
    <x:row r="319" ht="58" customHeight="1">
      <x:c r="A319" s="43" t="str">
        <x:v>OP-PSY-0315</x:v>
      </x:c>
      <x:c r="B319" s="43" t="str">
        <x:v>PSY-105</x:v>
      </x:c>
      <x:c r="C319" s="43" t="str">
        <x:v>Responsibility Attribution</x:v>
      </x:c>
      <x:c r="D319" s="43" t="str">
        <x:v>Structured scenario or expert-coded elicitation for Responsibility Attribution</x:v>
      </x:c>
      <x:c r="E319" s="43" t="str">
        <x:v>Expert elicitation</x:v>
      </x:c>
      <x:c r="F319" s="43" t="str">
        <x:v>Anchored ordinal or continuous judgment with documented rubric</x:v>
      </x:c>
      <x:c r="G319" s="43" t="str">
        <x:v>Moderate</x:v>
      </x:c>
      <x:c r="H319" s="43" t="str">
        <x:v>Judgments vary with framing, culture, actor identity, outcome information, and distinctions among causation, intent, and responsibility. Expert inference should use multiple raters, explicit uncertainty, and evidence independent of the target outcome.</x:v>
      </x:c>
      <x:c r="I319" s="43" t="str">
        <x:v>SRC198</x:v>
      </x:c>
    </x:row>
    <x:row r="320" ht="58" customHeight="1">
      <x:c r="A320" s="43" t="str">
        <x:v>OP-PSY-0316</x:v>
      </x:c>
      <x:c r="B320" s="43" t="str">
        <x:v>PSY-106</x:v>
      </x:c>
      <x:c r="C320" s="43" t="str">
        <x:v>Causal Attribution Locus</x:v>
      </x:c>
      <x:c r="D320" s="43" t="str">
        <x:v>Construct-specific assessment: Causal explanation coding</x:v>
      </x:c>
      <x:c r="E320" s="43" t="str">
        <x:v>Self-report / assessment</x:v>
      </x:c>
      <x:c r="F320" s="43" t="str">
        <x:v>Actor; situation; other agent; mixed, optionally with weights</x:v>
      </x:c>
      <x:c r="G320" s="43" t="str">
        <x:v>Moderate</x:v>
      </x:c>
      <x:c r="H320" s="43" t="str">
        <x:v>Judgments vary with framing, culture, actor identity, outcome information, and distinctions among causation, intent, and responsibility. Use behavior-, target-, and time-specific wording and report reliability and invariance where relevant.</x:v>
      </x:c>
      <x:c r="I320" s="43" t="str">
        <x:v>SRC163; SRC199</x:v>
      </x:c>
    </x:row>
    <x:row r="321" ht="58" customHeight="1">
      <x:c r="A321" s="43" t="str">
        <x:v>OP-PSY-0317</x:v>
      </x:c>
      <x:c r="B321" s="43" t="str">
        <x:v>PSY-106</x:v>
      </x:c>
      <x:c r="C321" s="43" t="str">
        <x:v>Causal Attribution Locus</x:v>
      </x:c>
      <x:c r="D321" s="43" t="str">
        <x:v>Behavioral or scenario-based indicator: intervention target</x:v>
      </x:c>
      <x:c r="E321" s="43" t="str">
        <x:v>Behavioral / clinical assessment</x:v>
      </x:c>
      <x:c r="F321" s="43" t="str">
        <x:v>Actor; situation; other agent; mixed, optionally with weights</x:v>
      </x:c>
      <x:c r="G321" s="43" t="str">
        <x:v>Moderate</x:v>
      </x:c>
      <x:c r="H321" s="43" t="str">
        <x:v>Judgments vary with framing, culture, actor identity, outcome information, and distinctions among causation, intent, and responsibility. Behavioral manifestations are conditional and should be triangulated with construct-specific assessment.</x:v>
      </x:c>
      <x:c r="I321" s="43" t="str">
        <x:v>SRC163; SRC199</x:v>
      </x:c>
    </x:row>
    <x:row r="322" ht="58" customHeight="1">
      <x:c r="A322" s="43" t="str">
        <x:v>OP-PSY-0318</x:v>
      </x:c>
      <x:c r="B322" s="43" t="str">
        <x:v>PSY-106</x:v>
      </x:c>
      <x:c r="C322" s="43" t="str">
        <x:v>Causal Attribution Locus</x:v>
      </x:c>
      <x:c r="D322" s="43" t="str">
        <x:v>Structured scenario or expert-coded elicitation for Causal Attribution Locus</x:v>
      </x:c>
      <x:c r="E322" s="43" t="str">
        <x:v>Expert elicitation</x:v>
      </x:c>
      <x:c r="F322" s="43" t="str">
        <x:v>Anchored ordinal or continuous judgment with documented rubric</x:v>
      </x:c>
      <x:c r="G322" s="43" t="str">
        <x:v>Moderate</x:v>
      </x:c>
      <x:c r="H322" s="43" t="str">
        <x:v>Judgments vary with framing, culture, actor identity, outcome information, and distinctions among causation, intent, and responsibility. Expert inference should use multiple raters, explicit uncertainty, and evidence independent of the target outcome.</x:v>
      </x:c>
      <x:c r="I322" s="43" t="str">
        <x:v>SRC163; SRC199</x:v>
      </x:c>
    </x:row>
    <x:row r="323" ht="58" customHeight="1">
      <x:c r="A323" s="43" t="str">
        <x:v>OP-PSY-0319</x:v>
      </x:c>
      <x:c r="B323" s="43" t="str">
        <x:v>PSY-107</x:v>
      </x:c>
      <x:c r="C323" s="43" t="str">
        <x:v>Intentionality Attribution</x:v>
      </x:c>
      <x:c r="D323" s="43" t="str">
        <x:v>Construct-specific assessment: Intent rating</x:v>
      </x:c>
      <x:c r="E323" s="43" t="str">
        <x:v>Self-report / assessment</x:v>
      </x:c>
      <x:c r="F323" s="43" t="str">
        <x:v>Accidental–fully intentional; component profile of desire, belief, foresight, and control</x:v>
      </x:c>
      <x:c r="G323" s="43" t="str">
        <x:v>Moderate</x:v>
      </x:c>
      <x:c r="H323" s="43" t="str">
        <x:v>Judgments vary with framing, culture, actor identity, outcome information, and distinctions among causation, intent, and responsibility. Use behavior-, target-, and time-specific wording and report reliability and invariance where relevant.</x:v>
      </x:c>
      <x:c r="I323" s="43" t="str">
        <x:v>SRC163; SRC198</x:v>
      </x:c>
    </x:row>
    <x:row r="324" ht="58" customHeight="1">
      <x:c r="A324" s="43" t="str">
        <x:v>OP-PSY-0320</x:v>
      </x:c>
      <x:c r="B324" s="43" t="str">
        <x:v>PSY-107</x:v>
      </x:c>
      <x:c r="C324" s="43" t="str">
        <x:v>Intentionality Attribution</x:v>
      </x:c>
      <x:c r="D324" s="43" t="str">
        <x:v>Behavioral or scenario-based indicator: blame</x:v>
      </x:c>
      <x:c r="E324" s="43" t="str">
        <x:v>Behavioral / clinical assessment</x:v>
      </x:c>
      <x:c r="F324" s="43" t="str">
        <x:v>Accidental–fully intentional; component profile of desire, belief, foresight, and control</x:v>
      </x:c>
      <x:c r="G324" s="43" t="str">
        <x:v>Moderate</x:v>
      </x:c>
      <x:c r="H324" s="43" t="str">
        <x:v>Judgments vary with framing, culture, actor identity, outcome information, and distinctions among causation, intent, and responsibility. Behavioral manifestations are conditional and should be triangulated with construct-specific assessment.</x:v>
      </x:c>
      <x:c r="I324" s="43" t="str">
        <x:v>SRC163; SRC198</x:v>
      </x:c>
    </x:row>
    <x:row r="325" ht="58" customHeight="1">
      <x:c r="A325" s="43" t="str">
        <x:v>OP-PSY-0321</x:v>
      </x:c>
      <x:c r="B325" s="43" t="str">
        <x:v>PSY-107</x:v>
      </x:c>
      <x:c r="C325" s="43" t="str">
        <x:v>Intentionality Attribution</x:v>
      </x:c>
      <x:c r="D325" s="43" t="str">
        <x:v>Structured scenario or expert-coded elicitation for Intentionality Attribution</x:v>
      </x:c>
      <x:c r="E325" s="43" t="str">
        <x:v>Expert elicitation</x:v>
      </x:c>
      <x:c r="F325" s="43" t="str">
        <x:v>Anchored ordinal or continuous judgment with documented rubric</x:v>
      </x:c>
      <x:c r="G325" s="43" t="str">
        <x:v>Moderate</x:v>
      </x:c>
      <x:c r="H325" s="43" t="str">
        <x:v>Judgments vary with framing, culture, actor identity, outcome information, and distinctions among causation, intent, and responsibility. Expert inference should use multiple raters, explicit uncertainty, and evidence independent of the target outcome.</x:v>
      </x:c>
      <x:c r="I325" s="43" t="str">
        <x:v>SRC163; SRC198</x:v>
      </x:c>
    </x:row>
    <x:row r="326" ht="58" customHeight="1">
      <x:c r="A326" s="43" t="str">
        <x:v>OP-PSY-0322</x:v>
      </x:c>
      <x:c r="B326" s="43" t="str">
        <x:v>PSY-108</x:v>
      </x:c>
      <x:c r="C326" s="43" t="str">
        <x:v>Perceived Freedom Threat</x:v>
      </x:c>
      <x:c r="D326" s="43" t="str">
        <x:v>Construct-specific assessment: Restriction rating</x:v>
      </x:c>
      <x:c r="E326" s="43" t="str">
        <x:v>Self-report / assessment</x:v>
      </x:c>
      <x:c r="F326" s="43" t="str">
        <x:v>None–high freedom-threat rating</x:v>
      </x:c>
      <x:c r="G326" s="43" t="str">
        <x:v>Moderate</x:v>
      </x:c>
      <x:c r="H326" s="43" t="str">
        <x:v>Judgments vary with framing, culture, actor identity, outcome information, and distinctions among causation, intent, and responsibility. Use behavior-, target-, and time-specific wording and report reliability and invariance where relevant.</x:v>
      </x:c>
      <x:c r="I326" s="43" t="str">
        <x:v>SRC128; SRC200</x:v>
      </x:c>
    </x:row>
    <x:row r="327" ht="58" customHeight="1">
      <x:c r="A327" s="43" t="str">
        <x:v>OP-PSY-0323</x:v>
      </x:c>
      <x:c r="B327" s="43" t="str">
        <x:v>PSY-108</x:v>
      </x:c>
      <x:c r="C327" s="43" t="str">
        <x:v>Perceived Freedom Threat</x:v>
      </x:c>
      <x:c r="D327" s="43" t="str">
        <x:v>Behavioral or scenario-based indicator: anger</x:v>
      </x:c>
      <x:c r="E327" s="43" t="str">
        <x:v>Behavioral / clinical assessment</x:v>
      </x:c>
      <x:c r="F327" s="43" t="str">
        <x:v>None–high freedom-threat rating</x:v>
      </x:c>
      <x:c r="G327" s="43" t="str">
        <x:v>Moderate</x:v>
      </x:c>
      <x:c r="H327" s="43" t="str">
        <x:v>Judgments vary with framing, culture, actor identity, outcome information, and distinctions among causation, intent, and responsibility. Behavioral manifestations are conditional and should be triangulated with construct-specific assessment.</x:v>
      </x:c>
      <x:c r="I327" s="43" t="str">
        <x:v>SRC128; SRC200</x:v>
      </x:c>
    </x:row>
    <x:row r="328" ht="58" customHeight="1">
      <x:c r="A328" s="43" t="str">
        <x:v>OP-PSY-0324</x:v>
      </x:c>
      <x:c r="B328" s="43" t="str">
        <x:v>PSY-108</x:v>
      </x:c>
      <x:c r="C328" s="43" t="str">
        <x:v>Perceived Freedom Threat</x:v>
      </x:c>
      <x:c r="D328" s="43" t="str">
        <x:v>Structured scenario or expert-coded elicitation for Perceived Freedom Threat</x:v>
      </x:c>
      <x:c r="E328" s="43" t="str">
        <x:v>Expert elicitation</x:v>
      </x:c>
      <x:c r="F328" s="43" t="str">
        <x:v>Anchored ordinal or continuous judgment with documented rubric</x:v>
      </x:c>
      <x:c r="G328" s="43" t="str">
        <x:v>Moderate</x:v>
      </x:c>
      <x:c r="H328" s="43" t="str">
        <x:v>Judgments vary with framing, culture, actor identity, outcome information, and distinctions among causation, intent, and responsibility. Expert inference should use multiple raters, explicit uncertainty, and evidence independent of the target outcome.</x:v>
      </x:c>
      <x:c r="I328" s="43" t="str">
        <x:v>SRC128; SRC200</x:v>
      </x:c>
    </x:row>
    <x:row r="329" ht="58" customHeight="1">
      <x:c r="A329" s="43" t="str">
        <x:v>OP-PSY-0325</x:v>
      </x:c>
      <x:c r="B329" s="43" t="str">
        <x:v>PSY-109</x:v>
      </x:c>
      <x:c r="C329" s="43" t="str">
        <x:v>Psychological Reactance Intensity</x:v>
      </x:c>
      <x:c r="D329" s="43" t="str">
        <x:v>Construct-specific assessment: Anger</x:v>
      </x:c>
      <x:c r="E329" s="43" t="str">
        <x:v>Self-report / assessment</x:v>
      </x:c>
      <x:c r="F329" s="43" t="str">
        <x:v>None–high reactance; anger plus negative-cognition composite</x:v>
      </x:c>
      <x:c r="G329" s="43" t="str">
        <x:v>Moderate</x:v>
      </x:c>
      <x:c r="H329" s="43" t="str">
        <x:v>Judgments vary with framing, culture, actor identity, outcome information, and distinctions among causation, intent, and responsibility. Use behavior-, target-, and time-specific wording and report reliability and invariance where relevant.</x:v>
      </x:c>
      <x:c r="I329" s="43" t="str">
        <x:v>SRC128; SRC200</x:v>
      </x:c>
    </x:row>
    <x:row r="330" ht="58" customHeight="1">
      <x:c r="A330" s="43" t="str">
        <x:v>OP-PSY-0326</x:v>
      </x:c>
      <x:c r="B330" s="43" t="str">
        <x:v>PSY-109</x:v>
      </x:c>
      <x:c r="C330" s="43" t="str">
        <x:v>Psychological Reactance Intensity</x:v>
      </x:c>
      <x:c r="D330" s="43" t="str">
        <x:v>Behavioral or scenario-based indicator: negative cognitions</x:v>
      </x:c>
      <x:c r="E330" s="43" t="str">
        <x:v>Behavioral / clinical assessment</x:v>
      </x:c>
      <x:c r="F330" s="43" t="str">
        <x:v>None–high reactance; anger plus negative-cognition composite</x:v>
      </x:c>
      <x:c r="G330" s="43" t="str">
        <x:v>Moderate</x:v>
      </x:c>
      <x:c r="H330" s="43" t="str">
        <x:v>Judgments vary with framing, culture, actor identity, outcome information, and distinctions among causation, intent, and responsibility. Behavioral manifestations are conditional and should be triangulated with construct-specific assessment.</x:v>
      </x:c>
      <x:c r="I330" s="43" t="str">
        <x:v>SRC128; SRC200</x:v>
      </x:c>
    </x:row>
    <x:row r="331" ht="58" customHeight="1">
      <x:c r="A331" s="43" t="str">
        <x:v>OP-PSY-0327</x:v>
      </x:c>
      <x:c r="B331" s="43" t="str">
        <x:v>PSY-109</x:v>
      </x:c>
      <x:c r="C331" s="43" t="str">
        <x:v>Psychological Reactance Intensity</x:v>
      </x:c>
      <x:c r="D331" s="43" t="str">
        <x:v>Structured scenario or expert-coded elicitation for Psychological Reactance Intensity</x:v>
      </x:c>
      <x:c r="E331" s="43" t="str">
        <x:v>Expert elicitation</x:v>
      </x:c>
      <x:c r="F331" s="43" t="str">
        <x:v>Anchored ordinal or continuous judgment with documented rubric</x:v>
      </x:c>
      <x:c r="G331" s="43" t="str">
        <x:v>Moderate</x:v>
      </x:c>
      <x:c r="H331" s="43" t="str">
        <x:v>Judgments vary with framing, culture, actor identity, outcome information, and distinctions among causation, intent, and responsibility. Expert inference should use multiple raters, explicit uncertainty, and evidence independent of the target outcome.</x:v>
      </x:c>
      <x:c r="I331" s="43" t="str">
        <x:v>SRC128; SRC200</x:v>
      </x:c>
    </x:row>
    <x:row r="332" ht="58" customHeight="1">
      <x:c r="A332" s="43" t="str">
        <x:v>OP-PSY-0328</x:v>
      </x:c>
      <x:c r="B332" s="43" t="str">
        <x:v>PSY-110</x:v>
      </x:c>
      <x:c r="C332" s="43" t="str">
        <x:v>Moral Conviction Strength</x:v>
      </x:c>
      <x:c r="D332" s="43" t="str">
        <x:v>Construct-specific assessment: Moral-basis rating</x:v>
      </x:c>
      <x:c r="E332" s="43" t="str">
        <x:v>Self-report / assessment</x:v>
      </x:c>
      <x:c r="F332" s="43" t="str">
        <x:v>Low–high moral-conviction scale</x:v>
      </x:c>
      <x:c r="G332" s="43" t="str">
        <x:v>Moderate</x:v>
      </x:c>
      <x:c r="H332" s="43" t="str">
        <x:v>Judgments vary with framing, culture, actor identity, outcome information, and distinctions among causation, intent, and responsibility. Use behavior-, target-, and time-specific wording and report reliability and invariance where relevant.</x:v>
      </x:c>
      <x:c r="I332" s="43" t="str">
        <x:v>SRC164; SRC160</x:v>
      </x:c>
    </x:row>
    <x:row r="333" ht="58" customHeight="1">
      <x:c r="A333" s="43" t="str">
        <x:v>OP-PSY-0329</x:v>
      </x:c>
      <x:c r="B333" s="43" t="str">
        <x:v>PSY-110</x:v>
      </x:c>
      <x:c r="C333" s="43" t="str">
        <x:v>Moral Conviction Strength</x:v>
      </x:c>
      <x:c r="D333" s="43" t="str">
        <x:v>Behavioral or scenario-based indicator: unwillingness to compromise</x:v>
      </x:c>
      <x:c r="E333" s="43" t="str">
        <x:v>Behavioral / clinical assessment</x:v>
      </x:c>
      <x:c r="F333" s="43" t="str">
        <x:v>Low–high moral-conviction scale</x:v>
      </x:c>
      <x:c r="G333" s="43" t="str">
        <x:v>Moderate</x:v>
      </x:c>
      <x:c r="H333" s="43" t="str">
        <x:v>Judgments vary with framing, culture, actor identity, outcome information, and distinctions among causation, intent, and responsibility. Behavioral manifestations are conditional and should be triangulated with construct-specific assessment.</x:v>
      </x:c>
      <x:c r="I333" s="43" t="str">
        <x:v>SRC164; SRC160</x:v>
      </x:c>
    </x:row>
    <x:row r="334" ht="58" customHeight="1">
      <x:c r="A334" s="43" t="str">
        <x:v>OP-PSY-0330</x:v>
      </x:c>
      <x:c r="B334" s="43" t="str">
        <x:v>PSY-110</x:v>
      </x:c>
      <x:c r="C334" s="43" t="str">
        <x:v>Moral Conviction Strength</x:v>
      </x:c>
      <x:c r="D334" s="43" t="str">
        <x:v>Structured scenario or expert-coded elicitation for Moral Conviction Strength</x:v>
      </x:c>
      <x:c r="E334" s="43" t="str">
        <x:v>Expert elicitation</x:v>
      </x:c>
      <x:c r="F334" s="43" t="str">
        <x:v>Anchored ordinal or continuous judgment with documented rubric</x:v>
      </x:c>
      <x:c r="G334" s="43" t="str">
        <x:v>Moderate</x:v>
      </x:c>
      <x:c r="H334" s="43" t="str">
        <x:v>Judgments vary with framing, culture, actor identity, outcome information, and distinctions among causation, intent, and responsibility. Expert inference should use multiple raters, explicit uncertainty, and evidence independent of the target outcome.</x:v>
      </x:c>
      <x:c r="I334" s="43" t="str">
        <x:v>SRC164; SRC160</x:v>
      </x:c>
    </x:row>
    <x:row r="335" ht="58" customHeight="1">
      <x:c r="A335" s="43" t="str">
        <x:v>OP-PSY-0331</x:v>
      </x:c>
      <x:c r="B335" s="43" t="str">
        <x:v>PSY-111</x:v>
      </x:c>
      <x:c r="C335" s="43" t="str">
        <x:v>Moral Obligation</x:v>
      </x:c>
      <x:c r="D335" s="43" t="str">
        <x:v>Construct-specific assessment: Duty ratings</x:v>
      </x:c>
      <x:c r="E335" s="43" t="str">
        <x:v>Self-report / assessment</x:v>
      </x:c>
      <x:c r="F335" s="43" t="str">
        <x:v>No duty–strong duty; action-specific obligation scale</x:v>
      </x:c>
      <x:c r="G335" s="43" t="str">
        <x:v>Moderate</x:v>
      </x:c>
      <x:c r="H335" s="43" t="str">
        <x:v>Judgments vary with framing, culture, actor identity, outcome information, and distinctions among causation, intent, and responsibility. Use behavior-, target-, and time-specific wording and report reliability and invariance where relevant.</x:v>
      </x:c>
      <x:c r="I335" s="43" t="str">
        <x:v>SRC164; SRC130</x:v>
      </x:c>
    </x:row>
    <x:row r="336" ht="58" customHeight="1">
      <x:c r="A336" s="43" t="str">
        <x:v>OP-PSY-0332</x:v>
      </x:c>
      <x:c r="B336" s="43" t="str">
        <x:v>PSY-111</x:v>
      </x:c>
      <x:c r="C336" s="43" t="str">
        <x:v>Moral Obligation</x:v>
      </x:c>
      <x:c r="D336" s="43" t="str">
        <x:v>Behavioral or scenario-based indicator: guilt anticipation</x:v>
      </x:c>
      <x:c r="E336" s="43" t="str">
        <x:v>Behavioral / clinical assessment</x:v>
      </x:c>
      <x:c r="F336" s="43" t="str">
        <x:v>No duty–strong duty; action-specific obligation scale</x:v>
      </x:c>
      <x:c r="G336" s="43" t="str">
        <x:v>Moderate</x:v>
      </x:c>
      <x:c r="H336" s="43" t="str">
        <x:v>Judgments vary with framing, culture, actor identity, outcome information, and distinctions among causation, intent, and responsibility. Behavioral manifestations are conditional and should be triangulated with construct-specific assessment.</x:v>
      </x:c>
      <x:c r="I336" s="43" t="str">
        <x:v>SRC164; SRC130</x:v>
      </x:c>
    </x:row>
    <x:row r="337" ht="58" customHeight="1">
      <x:c r="A337" s="43" t="str">
        <x:v>OP-PSY-0333</x:v>
      </x:c>
      <x:c r="B337" s="43" t="str">
        <x:v>PSY-111</x:v>
      </x:c>
      <x:c r="C337" s="43" t="str">
        <x:v>Moral Obligation</x:v>
      </x:c>
      <x:c r="D337" s="43" t="str">
        <x:v>Structured scenario or expert-coded elicitation for Moral Obligation</x:v>
      </x:c>
      <x:c r="E337" s="43" t="str">
        <x:v>Expert elicitation</x:v>
      </x:c>
      <x:c r="F337" s="43" t="str">
        <x:v>Anchored ordinal or continuous judgment with documented rubric</x:v>
      </x:c>
      <x:c r="G337" s="43" t="str">
        <x:v>Moderate</x:v>
      </x:c>
      <x:c r="H337" s="43" t="str">
        <x:v>Judgments vary with framing, culture, actor identity, outcome information, and distinctions among causation, intent, and responsibility. Expert inference should use multiple raters, explicit uncertainty, and evidence independent of the target outcome.</x:v>
      </x:c>
      <x:c r="I337" s="43" t="str">
        <x:v>SRC164; SRC130</x:v>
      </x:c>
    </x:row>
    <x:row r="338" ht="58" customHeight="1">
      <x:c r="A338" s="43" t="str">
        <x:v>OP-PSY-0334</x:v>
      </x:c>
      <x:c r="B338" s="43" t="str">
        <x:v>PSY-112</x:v>
      </x:c>
      <x:c r="C338" s="43" t="str">
        <x:v>Personal Value Priority</x:v>
      </x:c>
      <x:c r="D338" s="43" t="str">
        <x:v>Construct-specific assessment: Value ranking</x:v>
      </x:c>
      <x:c r="E338" s="43" t="str">
        <x:v>Self-report / assessment</x:v>
      </x:c>
      <x:c r="F338" s="43" t="str">
        <x:v>Rank order; ipsative or normalized value-importance score</x:v>
      </x:c>
      <x:c r="G338" s="43" t="str">
        <x:v>Low</x:v>
      </x:c>
      <x:c r="H338" s="43" t="str">
        <x:v>Judgments vary with framing, culture, actor identity, outcome information, and distinctions among causation, intent, and responsibility. Use behavior-, target-, and time-specific wording and report reliability and invariance where relevant.</x:v>
      </x:c>
      <x:c r="I338" s="43" t="str">
        <x:v>SRC165; SRC108</x:v>
      </x:c>
    </x:row>
    <x:row r="339" ht="58" customHeight="1">
      <x:c r="A339" s="43" t="str">
        <x:v>OP-PSY-0335</x:v>
      </x:c>
      <x:c r="B339" s="43" t="str">
        <x:v>PSY-112</x:v>
      </x:c>
      <x:c r="C339" s="43" t="str">
        <x:v>Personal Value Priority</x:v>
      </x:c>
      <x:c r="D339" s="43" t="str">
        <x:v>Behavioral or scenario-based indicator: value-congruent choices</x:v>
      </x:c>
      <x:c r="E339" s="43" t="str">
        <x:v>Behavioral / clinical assessment</x:v>
      </x:c>
      <x:c r="F339" s="43" t="str">
        <x:v>Rank order; ipsative or normalized value-importance score</x:v>
      </x:c>
      <x:c r="G339" s="43" t="str">
        <x:v>Low</x:v>
      </x:c>
      <x:c r="H339" s="43" t="str">
        <x:v>Judgments vary with framing, culture, actor identity, outcome information, and distinctions among causation, intent, and responsibility. Behavioral manifestations are conditional and should be triangulated with construct-specific assessment.</x:v>
      </x:c>
      <x:c r="I339" s="43" t="str">
        <x:v>SRC165; SRC108</x:v>
      </x:c>
    </x:row>
    <x:row r="340" ht="58" customHeight="1">
      <x:c r="A340" s="43" t="str">
        <x:v>OP-PSY-0336</x:v>
      </x:c>
      <x:c r="B340" s="43" t="str">
        <x:v>PSY-112</x:v>
      </x:c>
      <x:c r="C340" s="43" t="str">
        <x:v>Personal Value Priority</x:v>
      </x:c>
      <x:c r="D340" s="43" t="str">
        <x:v>Structured scenario or expert-coded elicitation for Personal Value Priority</x:v>
      </x:c>
      <x:c r="E340" s="43" t="str">
        <x:v>Expert elicitation</x:v>
      </x:c>
      <x:c r="F340" s="43" t="str">
        <x:v>Anchored ordinal or continuous judgment with documented rubric</x:v>
      </x:c>
      <x:c r="G340" s="43" t="str">
        <x:v>Low</x:v>
      </x:c>
      <x:c r="H340" s="43" t="str">
        <x:v>Judgments vary with framing, culture, actor identity, outcome information, and distinctions among causation, intent, and responsibility. Expert inference should use multiple raters, explicit uncertainty, and evidence independent of the target outcome.</x:v>
      </x:c>
      <x:c r="I340" s="43" t="str">
        <x:v>SRC165; SRC108</x:v>
      </x:c>
    </x:row>
    <x:row r="341" ht="58" customHeight="1">
      <x:c r="A341" s="43" t="str">
        <x:v>OP-PSY-0337</x:v>
      </x:c>
      <x:c r="B341" s="43" t="str">
        <x:v>PSY-113</x:v>
      </x:c>
      <x:c r="C341" s="43" t="str">
        <x:v>Perceived Source Credibility</x:v>
      </x:c>
      <x:c r="D341" s="43" t="str">
        <x:v>Construct-specific assessment: Credibility rating</x:v>
      </x:c>
      <x:c r="E341" s="43" t="str">
        <x:v>Self-report / assessment</x:v>
      </x:c>
      <x:c r="F341" s="43" t="str">
        <x:v>Expertise, trustworthiness, and benevolence profile; overall credibility</x:v>
      </x:c>
      <x:c r="G341" s="43" t="str">
        <x:v>Moderate</x:v>
      </x:c>
      <x:c r="H341" s="43" t="str">
        <x:v>Acceptance can reflect source heuristics, content, fluency, prior belief, or social alignment; confidence is not equivalent to accuracy. Use behavior-, target-, and time-specific wording and report reliability and invariance where relevant.</x:v>
      </x:c>
      <x:c r="I341" s="43" t="str">
        <x:v>SRC117; SRC201</x:v>
      </x:c>
    </x:row>
    <x:row r="342" ht="58" customHeight="1">
      <x:c r="A342" s="43" t="str">
        <x:v>OP-PSY-0338</x:v>
      </x:c>
      <x:c r="B342" s="43" t="str">
        <x:v>PSY-113</x:v>
      </x:c>
      <x:c r="C342" s="43" t="str">
        <x:v>Perceived Source Credibility</x:v>
      </x:c>
      <x:c r="D342" s="43" t="str">
        <x:v>Behavioral or scenario-based indicator: reliance choice</x:v>
      </x:c>
      <x:c r="E342" s="43" t="str">
        <x:v>Behavioral / clinical assessment</x:v>
      </x:c>
      <x:c r="F342" s="43" t="str">
        <x:v>Expertise, trustworthiness, and benevolence profile; overall credibility</x:v>
      </x:c>
      <x:c r="G342" s="43" t="str">
        <x:v>Moderate</x:v>
      </x:c>
      <x:c r="H342" s="43" t="str">
        <x:v>Acceptance can reflect source heuristics, content, fluency, prior belief, or social alignment; confidence is not equivalent to accuracy. Behavioral manifestations are conditional and should be triangulated with construct-specific assessment.</x:v>
      </x:c>
      <x:c r="I342" s="43" t="str">
        <x:v>SRC117; SRC201</x:v>
      </x:c>
    </x:row>
    <x:row r="343" ht="58" customHeight="1">
      <x:c r="A343" s="43" t="str">
        <x:v>OP-PSY-0339</x:v>
      </x:c>
      <x:c r="B343" s="43" t="str">
        <x:v>PSY-113</x:v>
      </x:c>
      <x:c r="C343" s="43" t="str">
        <x:v>Perceived Source Credibility</x:v>
      </x:c>
      <x:c r="D343" s="43" t="str">
        <x:v>Structured scenario or expert-coded elicitation for Perceived Source Credibility</x:v>
      </x:c>
      <x:c r="E343" s="43" t="str">
        <x:v>Expert elicitation</x:v>
      </x:c>
      <x:c r="F343" s="43" t="str">
        <x:v>Anchored ordinal or continuous judgment with documented rubric</x:v>
      </x:c>
      <x:c r="G343" s="43" t="str">
        <x:v>Moderate</x:v>
      </x:c>
      <x:c r="H343" s="43" t="str">
        <x:v>Acceptance can reflect source heuristics, content, fluency, prior belief, or social alignment; confidence is not equivalent to accuracy. Expert inference should use multiple raters, explicit uncertainty, and evidence independent of the target outcome.</x:v>
      </x:c>
      <x:c r="I343" s="43" t="str">
        <x:v>SRC117; SRC201</x:v>
      </x:c>
    </x:row>
    <x:row r="344" ht="58" customHeight="1">
      <x:c r="A344" s="43" t="str">
        <x:v>OP-PSY-0340</x:v>
      </x:c>
      <x:c r="B344" s="43" t="str">
        <x:v>PSY-114</x:v>
      </x:c>
      <x:c r="C344" s="43" t="str">
        <x:v>Perceived Argument Strength</x:v>
      </x:c>
      <x:c r="D344" s="43" t="str">
        <x:v>Construct-specific assessment: Argument rating</x:v>
      </x:c>
      <x:c r="E344" s="43" t="str">
        <x:v>Self-report / assessment</x:v>
      </x:c>
      <x:c r="F344" s="43" t="str">
        <x:v>Weak–strong argument rating; evidence-quality profile</x:v>
      </x:c>
      <x:c r="G344" s="43" t="str">
        <x:v>Moderate</x:v>
      </x:c>
      <x:c r="H344" s="43" t="str">
        <x:v>Acceptance can reflect source heuristics, content, fluency, prior belief, or social alignment; confidence is not equivalent to accuracy. Use behavior-, target-, and time-specific wording and report reliability and invariance where relevant.</x:v>
      </x:c>
      <x:c r="I344" s="43" t="str">
        <x:v>SRC117; SRC162</x:v>
      </x:c>
    </x:row>
    <x:row r="345" ht="58" customHeight="1">
      <x:c r="A345" s="43" t="str">
        <x:v>OP-PSY-0341</x:v>
      </x:c>
      <x:c r="B345" s="43" t="str">
        <x:v>PSY-114</x:v>
      </x:c>
      <x:c r="C345" s="43" t="str">
        <x:v>Perceived Argument Strength</x:v>
      </x:c>
      <x:c r="D345" s="43" t="str">
        <x:v>Behavioral or scenario-based indicator: conclusion acceptance</x:v>
      </x:c>
      <x:c r="E345" s="43" t="str">
        <x:v>Behavioral / clinical assessment</x:v>
      </x:c>
      <x:c r="F345" s="43" t="str">
        <x:v>Weak–strong argument rating; evidence-quality profile</x:v>
      </x:c>
      <x:c r="G345" s="43" t="str">
        <x:v>Moderate</x:v>
      </x:c>
      <x:c r="H345" s="43" t="str">
        <x:v>Acceptance can reflect source heuristics, content, fluency, prior belief, or social alignment; confidence is not equivalent to accuracy. Behavioral manifestations are conditional and should be triangulated with construct-specific assessment.</x:v>
      </x:c>
      <x:c r="I345" s="43" t="str">
        <x:v>SRC117; SRC162</x:v>
      </x:c>
    </x:row>
    <x:row r="346" ht="58" customHeight="1">
      <x:c r="A346" s="43" t="str">
        <x:v>OP-PSY-0342</x:v>
      </x:c>
      <x:c r="B346" s="43" t="str">
        <x:v>PSY-114</x:v>
      </x:c>
      <x:c r="C346" s="43" t="str">
        <x:v>Perceived Argument Strength</x:v>
      </x:c>
      <x:c r="D346" s="43" t="str">
        <x:v>Structured scenario or expert-coded elicitation for Perceived Argument Strength</x:v>
      </x:c>
      <x:c r="E346" s="43" t="str">
        <x:v>Expert elicitation</x:v>
      </x:c>
      <x:c r="F346" s="43" t="str">
        <x:v>Anchored ordinal or continuous judgment with documented rubric</x:v>
      </x:c>
      <x:c r="G346" s="43" t="str">
        <x:v>Moderate</x:v>
      </x:c>
      <x:c r="H346" s="43" t="str">
        <x:v>Acceptance can reflect source heuristics, content, fluency, prior belief, or social alignment; confidence is not equivalent to accuracy. Expert inference should use multiple raters, explicit uncertainty, and evidence independent of the target outcome.</x:v>
      </x:c>
      <x:c r="I346" s="43" t="str">
        <x:v>SRC117; SRC162</x:v>
      </x:c>
    </x:row>
    <x:row r="347" ht="58" customHeight="1">
      <x:c r="A347" s="43" t="str">
        <x:v>OP-PSY-0343</x:v>
      </x:c>
      <x:c r="B347" s="43" t="str">
        <x:v>PSY-115</x:v>
      </x:c>
      <x:c r="C347" s="43" t="str">
        <x:v>Counterarguing Intensity</x:v>
      </x:c>
      <x:c r="D347" s="43" t="str">
        <x:v>Construct-specific assessment: Thought-listing</x:v>
      </x:c>
      <x:c r="E347" s="43" t="str">
        <x:v>Self-report / assessment</x:v>
      </x:c>
      <x:c r="F347" s="43" t="str">
        <x:v>Thought count and quality; low–high counterarguing scale</x:v>
      </x:c>
      <x:c r="G347" s="43" t="str">
        <x:v>Moderate</x:v>
      </x:c>
      <x:c r="H347" s="43" t="str">
        <x:v>Acceptance can reflect source heuristics, content, fluency, prior belief, or social alignment; confidence is not equivalent to accuracy. Use behavior-, target-, and time-specific wording and report reliability and invariance where relevant.</x:v>
      </x:c>
      <x:c r="I347" s="43" t="str">
        <x:v>SRC131; SRC117</x:v>
      </x:c>
    </x:row>
    <x:row r="348" ht="58" customHeight="1">
      <x:c r="A348" s="43" t="str">
        <x:v>OP-PSY-0344</x:v>
      </x:c>
      <x:c r="B348" s="43" t="str">
        <x:v>PSY-115</x:v>
      </x:c>
      <x:c r="C348" s="43" t="str">
        <x:v>Counterarguing Intensity</x:v>
      </x:c>
      <x:c r="D348" s="43" t="str">
        <x:v>Behavioral or scenario-based indicator: rebuttal quality</x:v>
      </x:c>
      <x:c r="E348" s="43" t="str">
        <x:v>Behavioral / clinical assessment</x:v>
      </x:c>
      <x:c r="F348" s="43" t="str">
        <x:v>Thought count and quality; low–high counterarguing scale</x:v>
      </x:c>
      <x:c r="G348" s="43" t="str">
        <x:v>Moderate</x:v>
      </x:c>
      <x:c r="H348" s="43" t="str">
        <x:v>Acceptance can reflect source heuristics, content, fluency, prior belief, or social alignment; confidence is not equivalent to accuracy. Behavioral manifestations are conditional and should be triangulated with construct-specific assessment.</x:v>
      </x:c>
      <x:c r="I348" s="43" t="str">
        <x:v>SRC131; SRC117</x:v>
      </x:c>
    </x:row>
    <x:row r="349" ht="58" customHeight="1">
      <x:c r="A349" s="43" t="str">
        <x:v>OP-PSY-0345</x:v>
      </x:c>
      <x:c r="B349" s="43" t="str">
        <x:v>PSY-115</x:v>
      </x:c>
      <x:c r="C349" s="43" t="str">
        <x:v>Counterarguing Intensity</x:v>
      </x:c>
      <x:c r="D349" s="43" t="str">
        <x:v>Structured scenario or expert-coded elicitation for Counterarguing Intensity</x:v>
      </x:c>
      <x:c r="E349" s="43" t="str">
        <x:v>Expert elicitation</x:v>
      </x:c>
      <x:c r="F349" s="43" t="str">
        <x:v>Anchored ordinal or continuous judgment with documented rubric</x:v>
      </x:c>
      <x:c r="G349" s="43" t="str">
        <x:v>Moderate</x:v>
      </x:c>
      <x:c r="H349" s="43" t="str">
        <x:v>Acceptance can reflect source heuristics, content, fluency, prior belief, or social alignment; confidence is not equivalent to accuracy. Expert inference should use multiple raters, explicit uncertainty, and evidence independent of the target outcome.</x:v>
      </x:c>
      <x:c r="I349" s="43" t="str">
        <x:v>SRC131; SRC117</x:v>
      </x:c>
    </x:row>
    <x:row r="350" ht="58" customHeight="1">
      <x:c r="A350" s="43" t="str">
        <x:v>OP-PSY-0346</x:v>
      </x:c>
      <x:c r="B350" s="43" t="str">
        <x:v>PSY-116</x:v>
      </x:c>
      <x:c r="C350" s="43" t="str">
        <x:v>Metacognitive Confidence</x:v>
      </x:c>
      <x:c r="D350" s="43" t="str">
        <x:v>Construct-specific assessment: Confidence rating</x:v>
      </x:c>
      <x:c r="E350" s="43" t="str">
        <x:v>Self-report / assessment</x:v>
      </x:c>
      <x:c r="F350" s="43" t="str">
        <x:v>0–100% confidence; low–high certainty</x:v>
      </x:c>
      <x:c r="G350" s="43" t="str">
        <x:v>Moderate</x:v>
      </x:c>
      <x:c r="H350" s="43" t="str">
        <x:v>Acceptance can reflect source heuristics, content, fluency, prior belief, or social alignment; confidence is not equivalent to accuracy. Use behavior-, target-, and time-specific wording and report reliability and invariance where relevant.</x:v>
      </x:c>
      <x:c r="I350" s="43" t="str">
        <x:v>SRC168; SRC169; SRC156</x:v>
      </x:c>
    </x:row>
    <x:row r="351" ht="58" customHeight="1">
      <x:c r="A351" s="43" t="str">
        <x:v>OP-PSY-0347</x:v>
      </x:c>
      <x:c r="B351" s="43" t="str">
        <x:v>PSY-116</x:v>
      </x:c>
      <x:c r="C351" s="43" t="str">
        <x:v>Metacognitive Confidence</x:v>
      </x:c>
      <x:c r="D351" s="43" t="str">
        <x:v>Behavioral or scenario-based indicator: calibration</x:v>
      </x:c>
      <x:c r="E351" s="43" t="str">
        <x:v>Behavioral / clinical assessment</x:v>
      </x:c>
      <x:c r="F351" s="43" t="str">
        <x:v>0–100% confidence; low–high certainty</x:v>
      </x:c>
      <x:c r="G351" s="43" t="str">
        <x:v>Moderate</x:v>
      </x:c>
      <x:c r="H351" s="43" t="str">
        <x:v>Acceptance can reflect source heuristics, content, fluency, prior belief, or social alignment; confidence is not equivalent to accuracy. Behavioral manifestations are conditional and should be triangulated with construct-specific assessment.</x:v>
      </x:c>
      <x:c r="I351" s="43" t="str">
        <x:v>SRC168; SRC169; SRC156</x:v>
      </x:c>
    </x:row>
    <x:row r="352" ht="58" customHeight="1">
      <x:c r="A352" s="43" t="str">
        <x:v>OP-PSY-0348</x:v>
      </x:c>
      <x:c r="B352" s="43" t="str">
        <x:v>PSY-116</x:v>
      </x:c>
      <x:c r="C352" s="43" t="str">
        <x:v>Metacognitive Confidence</x:v>
      </x:c>
      <x:c r="D352" s="43" t="str">
        <x:v>Structured scenario or expert-coded elicitation for Metacognitive Confidence</x:v>
      </x:c>
      <x:c r="E352" s="43" t="str">
        <x:v>Expert elicitation</x:v>
      </x:c>
      <x:c r="F352" s="43" t="str">
        <x:v>Anchored ordinal or continuous judgment with documented rubric</x:v>
      </x:c>
      <x:c r="G352" s="43" t="str">
        <x:v>Moderate</x:v>
      </x:c>
      <x:c r="H352" s="43" t="str">
        <x:v>Acceptance can reflect source heuristics, content, fluency, prior belief, or social alignment; confidence is not equivalent to accuracy. Expert inference should use multiple raters, explicit uncertainty, and evidence independent of the target outcome.</x:v>
      </x:c>
      <x:c r="I352" s="43" t="str">
        <x:v>SRC168; SRC169; SRC156</x:v>
      </x:c>
    </x:row>
    <x:row r="353" ht="58" customHeight="1">
      <x:c r="A353" s="43" t="str">
        <x:v>OP-PSY-0349</x:v>
      </x:c>
      <x:c r="B353" s="43" t="str">
        <x:v>PSY-117</x:v>
      </x:c>
      <x:c r="C353" s="43" t="str">
        <x:v>Resistance Motivation</x:v>
      </x:c>
      <x:c r="D353" s="43" t="str">
        <x:v>Construct-specific assessment: Counterarguments</x:v>
      </x:c>
      <x:c r="E353" s="43" t="str">
        <x:v>Self-report / assessment</x:v>
      </x:c>
      <x:c r="F353" s="43" t="str">
        <x:v>Low–high resistance motivation; warning response</x:v>
      </x:c>
      <x:c r="G353" s="43" t="str">
        <x:v>Moderate</x:v>
      </x:c>
      <x:c r="H353" s="43" t="str">
        <x:v>Acceptance can reflect source heuristics, content, fluency, prior belief, or social alignment; confidence is not equivalent to accuracy. Use behavior-, target-, and time-specific wording and report reliability and invariance where relevant.</x:v>
      </x:c>
      <x:c r="I353" s="43" t="str">
        <x:v>SRC131; SRC128</x:v>
      </x:c>
    </x:row>
    <x:row r="354" ht="58" customHeight="1">
      <x:c r="A354" s="43" t="str">
        <x:v>OP-PSY-0350</x:v>
      </x:c>
      <x:c r="B354" s="43" t="str">
        <x:v>PSY-117</x:v>
      </x:c>
      <x:c r="C354" s="43" t="str">
        <x:v>Resistance Motivation</x:v>
      </x:c>
      <x:c r="D354" s="43" t="str">
        <x:v>Behavioral or scenario-based indicator: message avoidance</x:v>
      </x:c>
      <x:c r="E354" s="43" t="str">
        <x:v>Behavioral / clinical assessment</x:v>
      </x:c>
      <x:c r="F354" s="43" t="str">
        <x:v>Low–high resistance motivation; warning response</x:v>
      </x:c>
      <x:c r="G354" s="43" t="str">
        <x:v>Moderate</x:v>
      </x:c>
      <x:c r="H354" s="43" t="str">
        <x:v>Acceptance can reflect source heuristics, content, fluency, prior belief, or social alignment; confidence is not equivalent to accuracy. Behavioral manifestations are conditional and should be triangulated with construct-specific assessment.</x:v>
      </x:c>
      <x:c r="I354" s="43" t="str">
        <x:v>SRC131; SRC128</x:v>
      </x:c>
    </x:row>
    <x:row r="355" ht="58" customHeight="1">
      <x:c r="A355" s="43" t="str">
        <x:v>OP-PSY-0351</x:v>
      </x:c>
      <x:c r="B355" s="43" t="str">
        <x:v>PSY-117</x:v>
      </x:c>
      <x:c r="C355" s="43" t="str">
        <x:v>Resistance Motivation</x:v>
      </x:c>
      <x:c r="D355" s="43" t="str">
        <x:v>Structured scenario or expert-coded elicitation for Resistance Motivation</x:v>
      </x:c>
      <x:c r="E355" s="43" t="str">
        <x:v>Expert elicitation</x:v>
      </x:c>
      <x:c r="F355" s="43" t="str">
        <x:v>Anchored ordinal or continuous judgment with documented rubric</x:v>
      </x:c>
      <x:c r="G355" s="43" t="str">
        <x:v>Moderate</x:v>
      </x:c>
      <x:c r="H355" s="43" t="str">
        <x:v>Acceptance can reflect source heuristics, content, fluency, prior belief, or social alignment; confidence is not equivalent to accuracy. Expert inference should use multiple raters, explicit uncertainty, and evidence independent of the target outcome.</x:v>
      </x:c>
      <x:c r="I355" s="43" t="str">
        <x:v>SRC131; SRC128</x:v>
      </x:c>
    </x:row>
    <x:row r="356" ht="58" customHeight="1">
      <x:c r="A356" s="43" t="str">
        <x:v>OP-PSY-0352</x:v>
      </x:c>
      <x:c r="B356" s="43" t="str">
        <x:v>PSY-118</x:v>
      </x:c>
      <x:c r="C356" s="43" t="str">
        <x:v>Epistemic Trust</x:v>
      </x:c>
      <x:c r="D356" s="43" t="str">
        <x:v>Construct-specific assessment: Information uptake</x:v>
      </x:c>
      <x:c r="E356" s="43" t="str">
        <x:v>Self-report / assessment</x:v>
      </x:c>
      <x:c r="F356" s="43" t="str">
        <x:v>Low–high epistemic-trust scale; reliance probability</x:v>
      </x:c>
      <x:c r="G356" s="43" t="str">
        <x:v>Moderate</x:v>
      </x:c>
      <x:c r="H356" s="43" t="str">
        <x:v>Acceptance can reflect source heuristics, content, fluency, prior belief, or social alignment; confidence is not equivalent to accuracy. Use behavior-, target-, and time-specific wording and report reliability and invariance where relevant.</x:v>
      </x:c>
      <x:c r="I356" s="43" t="str">
        <x:v>SRC166; SRC136</x:v>
      </x:c>
    </x:row>
    <x:row r="357" ht="58" customHeight="1">
      <x:c r="A357" s="43" t="str">
        <x:v>OP-PSY-0353</x:v>
      </x:c>
      <x:c r="B357" s="43" t="str">
        <x:v>PSY-118</x:v>
      </x:c>
      <x:c r="C357" s="43" t="str">
        <x:v>Epistemic Trust</x:v>
      </x:c>
      <x:c r="D357" s="43" t="str">
        <x:v>Behavioral or scenario-based indicator: advice weighting</x:v>
      </x:c>
      <x:c r="E357" s="43" t="str">
        <x:v>Behavioral / clinical assessment</x:v>
      </x:c>
      <x:c r="F357" s="43" t="str">
        <x:v>Low–high epistemic-trust scale; reliance probability</x:v>
      </x:c>
      <x:c r="G357" s="43" t="str">
        <x:v>Moderate</x:v>
      </x:c>
      <x:c r="H357" s="43" t="str">
        <x:v>Acceptance can reflect source heuristics, content, fluency, prior belief, or social alignment; confidence is not equivalent to accuracy. Behavioral manifestations are conditional and should be triangulated with construct-specific assessment.</x:v>
      </x:c>
      <x:c r="I357" s="43" t="str">
        <x:v>SRC166; SRC136</x:v>
      </x:c>
    </x:row>
    <x:row r="358" ht="58" customHeight="1">
      <x:c r="A358" s="43" t="str">
        <x:v>OP-PSY-0354</x:v>
      </x:c>
      <x:c r="B358" s="43" t="str">
        <x:v>PSY-118</x:v>
      </x:c>
      <x:c r="C358" s="43" t="str">
        <x:v>Epistemic Trust</x:v>
      </x:c>
      <x:c r="D358" s="43" t="str">
        <x:v>Structured scenario or expert-coded elicitation for Epistemic Trust</x:v>
      </x:c>
      <x:c r="E358" s="43" t="str">
        <x:v>Expert elicitation</x:v>
      </x:c>
      <x:c r="F358" s="43" t="str">
        <x:v>Anchored ordinal or continuous judgment with documented rubric</x:v>
      </x:c>
      <x:c r="G358" s="43" t="str">
        <x:v>Moderate</x:v>
      </x:c>
      <x:c r="H358" s="43" t="str">
        <x:v>Acceptance can reflect source heuristics, content, fluency, prior belief, or social alignment; confidence is not equivalent to accuracy. Expert inference should use multiple raters, explicit uncertainty, and evidence independent of the target outcome.</x:v>
      </x:c>
      <x:c r="I358" s="43" t="str">
        <x:v>SRC166; SRC136</x:v>
      </x:c>
    </x:row>
    <x:row r="359" ht="58" customHeight="1">
      <x:c r="A359" s="43" t="str">
        <x:v>OP-PSY-0355</x:v>
      </x:c>
      <x:c r="B359" s="43" t="str">
        <x:v>PSY-119</x:v>
      </x:c>
      <x:c r="C359" s="43" t="str">
        <x:v>Perceived Information Sufficiency</x:v>
      </x:c>
      <x:c r="D359" s="43" t="str">
        <x:v>Construct-specific assessment: Search stopping</x:v>
      </x:c>
      <x:c r="E359" s="43" t="str">
        <x:v>Self-report / assessment</x:v>
      </x:c>
      <x:c r="F359" s="43" t="str">
        <x:v>Insufficient–fully sufficient; sufficiency gap</x:v>
      </x:c>
      <x:c r="G359" s="43" t="str">
        <x:v>Moderate</x:v>
      </x:c>
      <x:c r="H359" s="43" t="str">
        <x:v>Acceptance can reflect source heuristics, content, fluency, prior belief, or social alignment; confidence is not equivalent to accuracy. Use behavior-, target-, and time-specific wording and report reliability and invariance where relevant.</x:v>
      </x:c>
      <x:c r="I359" s="43" t="str">
        <x:v>SRC167; SRC119</x:v>
      </x:c>
    </x:row>
    <x:row r="360" ht="58" customHeight="1">
      <x:c r="A360" s="43" t="str">
        <x:v>OP-PSY-0356</x:v>
      </x:c>
      <x:c r="B360" s="43" t="str">
        <x:v>PSY-119</x:v>
      </x:c>
      <x:c r="C360" s="43" t="str">
        <x:v>Perceived Information Sufficiency</x:v>
      </x:c>
      <x:c r="D360" s="43" t="str">
        <x:v>Behavioral or scenario-based indicator: sufficiency rating</x:v>
      </x:c>
      <x:c r="E360" s="43" t="str">
        <x:v>Behavioral / clinical assessment</x:v>
      </x:c>
      <x:c r="F360" s="43" t="str">
        <x:v>Insufficient–fully sufficient; sufficiency gap</x:v>
      </x:c>
      <x:c r="G360" s="43" t="str">
        <x:v>Moderate</x:v>
      </x:c>
      <x:c r="H360" s="43" t="str">
        <x:v>Acceptance can reflect source heuristics, content, fluency, prior belief, or social alignment; confidence is not equivalent to accuracy. Behavioral manifestations are conditional and should be triangulated with construct-specific assessment.</x:v>
      </x:c>
      <x:c r="I360" s="43" t="str">
        <x:v>SRC167; SRC119</x:v>
      </x:c>
    </x:row>
    <x:row r="361" ht="58" customHeight="1">
      <x:c r="A361" s="43" t="str">
        <x:v>OP-PSY-0357</x:v>
      </x:c>
      <x:c r="B361" s="43" t="str">
        <x:v>PSY-119</x:v>
      </x:c>
      <x:c r="C361" s="43" t="str">
        <x:v>Perceived Information Sufficiency</x:v>
      </x:c>
      <x:c r="D361" s="43" t="str">
        <x:v>Structured scenario or expert-coded elicitation for Perceived Information Sufficiency</x:v>
      </x:c>
      <x:c r="E361" s="43" t="str">
        <x:v>Expert elicitation</x:v>
      </x:c>
      <x:c r="F361" s="43" t="str">
        <x:v>Anchored ordinal or continuous judgment with documented rubric</x:v>
      </x:c>
      <x:c r="G361" s="43" t="str">
        <x:v>Moderate</x:v>
      </x:c>
      <x:c r="H361" s="43" t="str">
        <x:v>Acceptance can reflect source heuristics, content, fluency, prior belief, or social alignment; confidence is not equivalent to accuracy. Expert inference should use multiple raters, explicit uncertainty, and evidence independent of the target outcome.</x:v>
      </x:c>
      <x:c r="I361" s="43" t="str">
        <x:v>SRC167; SRC119</x:v>
      </x:c>
    </x:row>
    <x:row r="362" ht="58" customHeight="1">
      <x:c r="A362" s="43" t="str">
        <x:v>OP-PSY-0358</x:v>
      </x:c>
      <x:c r="B362" s="43" t="str">
        <x:v>PSY-120</x:v>
      </x:c>
      <x:c r="C362" s="43" t="str">
        <x:v>Conscientiousness</x:v>
      </x:c>
      <x:c r="D362" s="43" t="str">
        <x:v>Construct-specific assessment: Trait inventory</x:v>
      </x:c>
      <x:c r="E362" s="43" t="str">
        <x:v>Self-report / assessment</x:v>
      </x:c>
      <x:c r="F362" s="43" t="str">
        <x:v>Validated broad trait score with facet profile</x:v>
      </x:c>
      <x:c r="G362" s="43" t="str">
        <x:v>Low</x:v>
      </x:c>
      <x:c r="H362" s="43" t="str">
        <x:v>Trait scores are probabilistic, instrument-dependent summaries; short forms and cross-cultural use can reduce reliability or equivalence. Use behavior-, target-, and time-specific wording and report reliability and invariance where relevant.</x:v>
      </x:c>
      <x:c r="I362" s="43" t="str">
        <x:v>SRC202; SRC203</x:v>
      </x:c>
    </x:row>
    <x:row r="363" ht="58" customHeight="1">
      <x:c r="A363" s="43" t="str">
        <x:v>OP-PSY-0359</x:v>
      </x:c>
      <x:c r="B363" s="43" t="str">
        <x:v>PSY-120</x:v>
      </x:c>
      <x:c r="C363" s="43" t="str">
        <x:v>Conscientiousness</x:v>
      </x:c>
      <x:c r="D363" s="43" t="str">
        <x:v>Informant report or longitudinal aggregate for Conscientiousness</x:v>
      </x:c>
      <x:c r="E363" s="43" t="str">
        <x:v>Other</x:v>
      </x:c>
      <x:c r="F363" s="43" t="str">
        <x:v>Validated informant form or aggregate standardized score</x:v>
      </x:c>
      <x:c r="G363" s="43" t="str">
        <x:v>Low</x:v>
      </x:c>
      <x:c r="H363" s="43" t="str">
        <x:v>Trait scores are probabilistic, instrument-dependent summaries; short forms and cross-cultural use can reduce reliability or equivalence. Informant opportunity and shared-method variance should be documented.</x:v>
      </x:c>
      <x:c r="I363" s="43" t="str">
        <x:v>SRC202; SRC203</x:v>
      </x:c>
    </x:row>
    <x:row r="364" ht="58" customHeight="1">
      <x:c r="A364" s="43" t="str">
        <x:v>OP-PSY-0360</x:v>
      </x:c>
      <x:c r="B364" s="43" t="str">
        <x:v>PSY-120</x:v>
      </x:c>
      <x:c r="C364" s="43" t="str">
        <x:v>Conscientiousness</x:v>
      </x:c>
      <x:c r="D364" s="43" t="str">
        <x:v>Aggregated behavior across situations relevant to Conscientiousness</x:v>
      </x:c>
      <x:c r="E364" s="43" t="str">
        <x:v>Administrative / archival</x:v>
      </x:c>
      <x:c r="F364" s="43" t="str">
        <x:v>Repeated naturalistic indicators summarized across contexts</x:v>
      </x:c>
      <x:c r="G364" s="43" t="str">
        <x:v>Low</x:v>
      </x:c>
      <x:c r="H364" s="43" t="str">
        <x:v>Trait scores are probabilistic, instrument-dependent summaries; short forms and cross-cultural use can reduce reliability or equivalence. Aggregation requires adequate sampling of situations and should not be used to infer moral worth or diagnosis.</x:v>
      </x:c>
      <x:c r="I364" s="43" t="str">
        <x:v>SRC202; SRC203</x:v>
      </x:c>
    </x:row>
    <x:row r="365" ht="58" customHeight="1">
      <x:c r="A365" s="43" t="str">
        <x:v>OP-PSY-0361</x:v>
      </x:c>
      <x:c r="B365" s="43" t="str">
        <x:v>PSY-121</x:v>
      </x:c>
      <x:c r="C365" s="43" t="str">
        <x:v>Neuroticism</x:v>
      </x:c>
      <x:c r="D365" s="43" t="str">
        <x:v>Construct-specific assessment: Trait inventory</x:v>
      </x:c>
      <x:c r="E365" s="43" t="str">
        <x:v>Self-report / assessment</x:v>
      </x:c>
      <x:c r="F365" s="43" t="str">
        <x:v>Validated broad trait score with anxiety, volatility, and withdrawal facets</x:v>
      </x:c>
      <x:c r="G365" s="43" t="str">
        <x:v>Low</x:v>
      </x:c>
      <x:c r="H365" s="43" t="str">
        <x:v>Trait scores are probabilistic, instrument-dependent summaries; short forms and cross-cultural use can reduce reliability or equivalence. Use behavior-, target-, and time-specific wording and report reliability and invariance where relevant.</x:v>
      </x:c>
      <x:c r="I365" s="43" t="str">
        <x:v>SRC202; SRC204</x:v>
      </x:c>
    </x:row>
    <x:row r="366" ht="58" customHeight="1">
      <x:c r="A366" s="43" t="str">
        <x:v>OP-PSY-0362</x:v>
      </x:c>
      <x:c r="B366" s="43" t="str">
        <x:v>PSY-121</x:v>
      </x:c>
      <x:c r="C366" s="43" t="str">
        <x:v>Neuroticism</x:v>
      </x:c>
      <x:c r="D366" s="43" t="str">
        <x:v>Informant report or longitudinal aggregate for Neuroticism</x:v>
      </x:c>
      <x:c r="E366" s="43" t="str">
        <x:v>Other</x:v>
      </x:c>
      <x:c r="F366" s="43" t="str">
        <x:v>Validated informant form or aggregate standardized score</x:v>
      </x:c>
      <x:c r="G366" s="43" t="str">
        <x:v>Low</x:v>
      </x:c>
      <x:c r="H366" s="43" t="str">
        <x:v>Trait scores are probabilistic, instrument-dependent summaries; short forms and cross-cultural use can reduce reliability or equivalence. Informant opportunity and shared-method variance should be documented.</x:v>
      </x:c>
      <x:c r="I366" s="43" t="str">
        <x:v>SRC202; SRC204</x:v>
      </x:c>
    </x:row>
    <x:row r="367" ht="58" customHeight="1">
      <x:c r="A367" s="43" t="str">
        <x:v>OP-PSY-0363</x:v>
      </x:c>
      <x:c r="B367" s="43" t="str">
        <x:v>PSY-121</x:v>
      </x:c>
      <x:c r="C367" s="43" t="str">
        <x:v>Neuroticism</x:v>
      </x:c>
      <x:c r="D367" s="43" t="str">
        <x:v>Aggregated behavior across situations relevant to Neuroticism</x:v>
      </x:c>
      <x:c r="E367" s="43" t="str">
        <x:v>Administrative / archival</x:v>
      </x:c>
      <x:c r="F367" s="43" t="str">
        <x:v>Repeated naturalistic indicators summarized across contexts</x:v>
      </x:c>
      <x:c r="G367" s="43" t="str">
        <x:v>Low</x:v>
      </x:c>
      <x:c r="H367" s="43" t="str">
        <x:v>Trait scores are probabilistic, instrument-dependent summaries; short forms and cross-cultural use can reduce reliability or equivalence. Aggregation requires adequate sampling of situations and should not be used to infer moral worth or diagnosis.</x:v>
      </x:c>
      <x:c r="I367" s="43" t="str">
        <x:v>SRC202; SRC204</x:v>
      </x:c>
    </x:row>
    <x:row r="368" ht="58" customHeight="1">
      <x:c r="A368" s="43" t="str">
        <x:v>OP-PSY-0364</x:v>
      </x:c>
      <x:c r="B368" s="43" t="str">
        <x:v>PSY-122</x:v>
      </x:c>
      <x:c r="C368" s="43" t="str">
        <x:v>Extraversion</x:v>
      </x:c>
      <x:c r="D368" s="43" t="str">
        <x:v>Construct-specific assessment: Trait inventory</x:v>
      </x:c>
      <x:c r="E368" s="43" t="str">
        <x:v>Self-report / assessment</x:v>
      </x:c>
      <x:c r="F368" s="43" t="str">
        <x:v>Validated broad trait score with sociability, assertiveness, and energy facets</x:v>
      </x:c>
      <x:c r="G368" s="43" t="str">
        <x:v>Low</x:v>
      </x:c>
      <x:c r="H368" s="43" t="str">
        <x:v>Trait scores are probabilistic, instrument-dependent summaries; short forms and cross-cultural use can reduce reliability or equivalence. Use behavior-, target-, and time-specific wording and report reliability and invariance where relevant.</x:v>
      </x:c>
      <x:c r="I368" s="43" t="str">
        <x:v>SRC202; SRC203</x:v>
      </x:c>
    </x:row>
    <x:row r="369" ht="58" customHeight="1">
      <x:c r="A369" s="43" t="str">
        <x:v>OP-PSY-0365</x:v>
      </x:c>
      <x:c r="B369" s="43" t="str">
        <x:v>PSY-122</x:v>
      </x:c>
      <x:c r="C369" s="43" t="str">
        <x:v>Extraversion</x:v>
      </x:c>
      <x:c r="D369" s="43" t="str">
        <x:v>Informant report or longitudinal aggregate for Extraversion</x:v>
      </x:c>
      <x:c r="E369" s="43" t="str">
        <x:v>Other</x:v>
      </x:c>
      <x:c r="F369" s="43" t="str">
        <x:v>Validated informant form or aggregate standardized score</x:v>
      </x:c>
      <x:c r="G369" s="43" t="str">
        <x:v>Low</x:v>
      </x:c>
      <x:c r="H369" s="43" t="str">
        <x:v>Trait scores are probabilistic, instrument-dependent summaries; short forms and cross-cultural use can reduce reliability or equivalence. Informant opportunity and shared-method variance should be documented.</x:v>
      </x:c>
      <x:c r="I369" s="43" t="str">
        <x:v>SRC202; SRC203</x:v>
      </x:c>
    </x:row>
    <x:row r="370" ht="58" customHeight="1">
      <x:c r="A370" s="43" t="str">
        <x:v>OP-PSY-0366</x:v>
      </x:c>
      <x:c r="B370" s="43" t="str">
        <x:v>PSY-122</x:v>
      </x:c>
      <x:c r="C370" s="43" t="str">
        <x:v>Extraversion</x:v>
      </x:c>
      <x:c r="D370" s="43" t="str">
        <x:v>Aggregated behavior across situations relevant to Extraversion</x:v>
      </x:c>
      <x:c r="E370" s="43" t="str">
        <x:v>Administrative / archival</x:v>
      </x:c>
      <x:c r="F370" s="43" t="str">
        <x:v>Repeated naturalistic indicators summarized across contexts</x:v>
      </x:c>
      <x:c r="G370" s="43" t="str">
        <x:v>Low</x:v>
      </x:c>
      <x:c r="H370" s="43" t="str">
        <x:v>Trait scores are probabilistic, instrument-dependent summaries; short forms and cross-cultural use can reduce reliability or equivalence. Aggregation requires adequate sampling of situations and should not be used to infer moral worth or diagnosis.</x:v>
      </x:c>
      <x:c r="I370" s="43" t="str">
        <x:v>SRC202; SRC203</x:v>
      </x:c>
    </x:row>
    <x:row r="371" ht="58" customHeight="1">
      <x:c r="A371" s="43" t="str">
        <x:v>OP-PSY-0367</x:v>
      </x:c>
      <x:c r="B371" s="43" t="str">
        <x:v>PSY-123</x:v>
      </x:c>
      <x:c r="C371" s="43" t="str">
        <x:v>Agreeableness</x:v>
      </x:c>
      <x:c r="D371" s="43" t="str">
        <x:v>Construct-specific assessment: Trait inventory</x:v>
      </x:c>
      <x:c r="E371" s="43" t="str">
        <x:v>Self-report / assessment</x:v>
      </x:c>
      <x:c r="F371" s="43" t="str">
        <x:v>Validated broad trait score with compassion and respectfulness facets</x:v>
      </x:c>
      <x:c r="G371" s="43" t="str">
        <x:v>Low</x:v>
      </x:c>
      <x:c r="H371" s="43" t="str">
        <x:v>Trait scores are probabilistic, instrument-dependent summaries; short forms and cross-cultural use can reduce reliability or equivalence. Use behavior-, target-, and time-specific wording and report reliability and invariance where relevant.</x:v>
      </x:c>
      <x:c r="I371" s="43" t="str">
        <x:v>SRC202; SRC203</x:v>
      </x:c>
    </x:row>
    <x:row r="372" ht="58" customHeight="1">
      <x:c r="A372" s="43" t="str">
        <x:v>OP-PSY-0368</x:v>
      </x:c>
      <x:c r="B372" s="43" t="str">
        <x:v>PSY-123</x:v>
      </x:c>
      <x:c r="C372" s="43" t="str">
        <x:v>Agreeableness</x:v>
      </x:c>
      <x:c r="D372" s="43" t="str">
        <x:v>Informant report or longitudinal aggregate for Agreeableness</x:v>
      </x:c>
      <x:c r="E372" s="43" t="str">
        <x:v>Other</x:v>
      </x:c>
      <x:c r="F372" s="43" t="str">
        <x:v>Validated informant form or aggregate standardized score</x:v>
      </x:c>
      <x:c r="G372" s="43" t="str">
        <x:v>Low</x:v>
      </x:c>
      <x:c r="H372" s="43" t="str">
        <x:v>Trait scores are probabilistic, instrument-dependent summaries; short forms and cross-cultural use can reduce reliability or equivalence. Informant opportunity and shared-method variance should be documented.</x:v>
      </x:c>
      <x:c r="I372" s="43" t="str">
        <x:v>SRC202; SRC203</x:v>
      </x:c>
    </x:row>
    <x:row r="373" ht="58" customHeight="1">
      <x:c r="A373" s="43" t="str">
        <x:v>OP-PSY-0369</x:v>
      </x:c>
      <x:c r="B373" s="43" t="str">
        <x:v>PSY-123</x:v>
      </x:c>
      <x:c r="C373" s="43" t="str">
        <x:v>Agreeableness</x:v>
      </x:c>
      <x:c r="D373" s="43" t="str">
        <x:v>Aggregated behavior across situations relevant to Agreeableness</x:v>
      </x:c>
      <x:c r="E373" s="43" t="str">
        <x:v>Administrative / archival</x:v>
      </x:c>
      <x:c r="F373" s="43" t="str">
        <x:v>Repeated naturalistic indicators summarized across contexts</x:v>
      </x:c>
      <x:c r="G373" s="43" t="str">
        <x:v>Low</x:v>
      </x:c>
      <x:c r="H373" s="43" t="str">
        <x:v>Trait scores are probabilistic, instrument-dependent summaries; short forms and cross-cultural use can reduce reliability or equivalence. Aggregation requires adequate sampling of situations and should not be used to infer moral worth or diagnosis.</x:v>
      </x:c>
      <x:c r="I373" s="43" t="str">
        <x:v>SRC202; SRC203</x:v>
      </x:c>
    </x:row>
    <x:row r="374" ht="58" customHeight="1">
      <x:c r="A374" s="43" t="str">
        <x:v>OP-PSY-0370</x:v>
      </x:c>
      <x:c r="B374" s="43" t="str">
        <x:v>PSY-124</x:v>
      </x:c>
      <x:c r="C374" s="43" t="str">
        <x:v>Openness to Experience</x:v>
      </x:c>
      <x:c r="D374" s="43" t="str">
        <x:v>Construct-specific assessment: Trait inventory</x:v>
      </x:c>
      <x:c r="E374" s="43" t="str">
        <x:v>Self-report / assessment</x:v>
      </x:c>
      <x:c r="F374" s="43" t="str">
        <x:v>Validated broad trait score with intellectual curiosity and aesthetic sensitivity facets</x:v>
      </x:c>
      <x:c r="G374" s="43" t="str">
        <x:v>Low</x:v>
      </x:c>
      <x:c r="H374" s="43" t="str">
        <x:v>Trait scores are probabilistic, instrument-dependent summaries; short forms and cross-cultural use can reduce reliability or equivalence. Use behavior-, target-, and time-specific wording and report reliability and invariance where relevant.</x:v>
      </x:c>
      <x:c r="I374" s="43" t="str">
        <x:v>SRC202; SRC203</x:v>
      </x:c>
    </x:row>
    <x:row r="375" ht="58" customHeight="1">
      <x:c r="A375" s="43" t="str">
        <x:v>OP-PSY-0371</x:v>
      </x:c>
      <x:c r="B375" s="43" t="str">
        <x:v>PSY-124</x:v>
      </x:c>
      <x:c r="C375" s="43" t="str">
        <x:v>Openness to Experience</x:v>
      </x:c>
      <x:c r="D375" s="43" t="str">
        <x:v>Informant report or longitudinal aggregate for Openness to Experience</x:v>
      </x:c>
      <x:c r="E375" s="43" t="str">
        <x:v>Other</x:v>
      </x:c>
      <x:c r="F375" s="43" t="str">
        <x:v>Validated informant form or aggregate standardized score</x:v>
      </x:c>
      <x:c r="G375" s="43" t="str">
        <x:v>Low</x:v>
      </x:c>
      <x:c r="H375" s="43" t="str">
        <x:v>Trait scores are probabilistic, instrument-dependent summaries; short forms and cross-cultural use can reduce reliability or equivalence. Informant opportunity and shared-method variance should be documented.</x:v>
      </x:c>
      <x:c r="I375" s="43" t="str">
        <x:v>SRC202; SRC203</x:v>
      </x:c>
    </x:row>
    <x:row r="376" ht="58" customHeight="1">
      <x:c r="A376" s="43" t="str">
        <x:v>OP-PSY-0372</x:v>
      </x:c>
      <x:c r="B376" s="43" t="str">
        <x:v>PSY-124</x:v>
      </x:c>
      <x:c r="C376" s="43" t="str">
        <x:v>Openness to Experience</x:v>
      </x:c>
      <x:c r="D376" s="43" t="str">
        <x:v>Aggregated behavior across situations relevant to Openness to Experience</x:v>
      </x:c>
      <x:c r="E376" s="43" t="str">
        <x:v>Administrative / archival</x:v>
      </x:c>
      <x:c r="F376" s="43" t="str">
        <x:v>Repeated naturalistic indicators summarized across contexts</x:v>
      </x:c>
      <x:c r="G376" s="43" t="str">
        <x:v>Low</x:v>
      </x:c>
      <x:c r="H376" s="43" t="str">
        <x:v>Trait scores are probabilistic, instrument-dependent summaries; short forms and cross-cultural use can reduce reliability or equivalence. Aggregation requires adequate sampling of situations and should not be used to infer moral worth or diagnosis.</x:v>
      </x:c>
      <x:c r="I376" s="43" t="str">
        <x:v>SRC202; SRC203</x:v>
      </x:c>
    </x:row>
    <x:row r="377" ht="58" customHeight="1">
      <x:c r="A377" s="43" t="str">
        <x:v>OP-PSY-0373</x:v>
      </x:c>
      <x:c r="B377" s="43" t="str">
        <x:v>PSY-125</x:v>
      </x:c>
      <x:c r="C377" s="43" t="str">
        <x:v>Trait Impulsivity</x:v>
      </x:c>
      <x:c r="D377" s="43" t="str">
        <x:v>Construct-specific assessment: Trait inventory</x:v>
      </x:c>
      <x:c r="E377" s="43" t="str">
        <x:v>Self-report / assessment</x:v>
      </x:c>
      <x:c r="F377" s="43" t="str">
        <x:v>Validated impulsivity profile; urgency, lack of premeditation, and related facets</x:v>
      </x:c>
      <x:c r="G377" s="43" t="str">
        <x:v>Low</x:v>
      </x:c>
      <x:c r="H377" s="43" t="str">
        <x:v>Trait scores are probabilistic, instrument-dependent summaries; short forms and cross-cultural use can reduce reliability or equivalence. Use behavior-, target-, and time-specific wording and report reliability and invariance where relevant.</x:v>
      </x:c>
      <x:c r="I377" s="43" t="str">
        <x:v>SRC205; SRC126</x:v>
      </x:c>
    </x:row>
    <x:row r="378" ht="58" customHeight="1">
      <x:c r="A378" s="43" t="str">
        <x:v>OP-PSY-0374</x:v>
      </x:c>
      <x:c r="B378" s="43" t="str">
        <x:v>PSY-125</x:v>
      </x:c>
      <x:c r="C378" s="43" t="str">
        <x:v>Trait Impulsivity</x:v>
      </x:c>
      <x:c r="D378" s="43" t="str">
        <x:v>Informant report or longitudinal aggregate for Trait Impulsivity</x:v>
      </x:c>
      <x:c r="E378" s="43" t="str">
        <x:v>Other</x:v>
      </x:c>
      <x:c r="F378" s="43" t="str">
        <x:v>Validated informant form or aggregate standardized score</x:v>
      </x:c>
      <x:c r="G378" s="43" t="str">
        <x:v>Low</x:v>
      </x:c>
      <x:c r="H378" s="43" t="str">
        <x:v>Trait scores are probabilistic, instrument-dependent summaries; short forms and cross-cultural use can reduce reliability or equivalence. Informant opportunity and shared-method variance should be documented.</x:v>
      </x:c>
      <x:c r="I378" s="43" t="str">
        <x:v>SRC205; SRC126</x:v>
      </x:c>
    </x:row>
    <x:row r="379" ht="58" customHeight="1">
      <x:c r="A379" s="43" t="str">
        <x:v>OP-PSY-0375</x:v>
      </x:c>
      <x:c r="B379" s="43" t="str">
        <x:v>PSY-125</x:v>
      </x:c>
      <x:c r="C379" s="43" t="str">
        <x:v>Trait Impulsivity</x:v>
      </x:c>
      <x:c r="D379" s="43" t="str">
        <x:v>Aggregated behavior across situations relevant to Trait Impulsivity</x:v>
      </x:c>
      <x:c r="E379" s="43" t="str">
        <x:v>Administrative / archival</x:v>
      </x:c>
      <x:c r="F379" s="43" t="str">
        <x:v>Repeated naturalistic indicators summarized across contexts</x:v>
      </x:c>
      <x:c r="G379" s="43" t="str">
        <x:v>Low</x:v>
      </x:c>
      <x:c r="H379" s="43" t="str">
        <x:v>Trait scores are probabilistic, instrument-dependent summaries; short forms and cross-cultural use can reduce reliability or equivalence. Aggregation requires adequate sampling of situations and should not be used to infer moral worth or diagnosis.</x:v>
      </x:c>
      <x:c r="I379" s="43" t="str">
        <x:v>SRC205; SRC126</x:v>
      </x:c>
    </x:row>
    <x:row r="380" ht="58" customHeight="1">
      <x:c r="A380" s="43" t="str">
        <x:v>OP-PSY-0376</x:v>
      </x:c>
      <x:c r="B380" s="43" t="str">
        <x:v>PSY-126</x:v>
      </x:c>
      <x:c r="C380" s="43" t="str">
        <x:v>Sensation Seeking</x:v>
      </x:c>
      <x:c r="D380" s="43" t="str">
        <x:v>Construct-specific assessment: Trait scale</x:v>
      </x:c>
      <x:c r="E380" s="43" t="str">
        <x:v>Self-report / assessment</x:v>
      </x:c>
      <x:c r="F380" s="43" t="str">
        <x:v>Validated sensation-seeking total or facet profile</x:v>
      </x:c>
      <x:c r="G380" s="43" t="str">
        <x:v>Low</x:v>
      </x:c>
      <x:c r="H380" s="43" t="str">
        <x:v>Trait scores are probabilistic, instrument-dependent summaries; short forms and cross-cultural use can reduce reliability or equivalence. Use behavior-, target-, and time-specific wording and report reliability and invariance where relevant.</x:v>
      </x:c>
      <x:c r="I380" s="43" t="str">
        <x:v>SRC206; SRC163</x:v>
      </x:c>
    </x:row>
    <x:row r="381" ht="58" customHeight="1">
      <x:c r="A381" s="43" t="str">
        <x:v>OP-PSY-0377</x:v>
      </x:c>
      <x:c r="B381" s="43" t="str">
        <x:v>PSY-126</x:v>
      </x:c>
      <x:c r="C381" s="43" t="str">
        <x:v>Sensation Seeking</x:v>
      </x:c>
      <x:c r="D381" s="43" t="str">
        <x:v>Informant report or longitudinal aggregate for Sensation Seeking</x:v>
      </x:c>
      <x:c r="E381" s="43" t="str">
        <x:v>Other</x:v>
      </x:c>
      <x:c r="F381" s="43" t="str">
        <x:v>Validated informant form or aggregate standardized score</x:v>
      </x:c>
      <x:c r="G381" s="43" t="str">
        <x:v>Low</x:v>
      </x:c>
      <x:c r="H381" s="43" t="str">
        <x:v>Trait scores are probabilistic, instrument-dependent summaries; short forms and cross-cultural use can reduce reliability or equivalence. Informant opportunity and shared-method variance should be documented.</x:v>
      </x:c>
      <x:c r="I381" s="43" t="str">
        <x:v>SRC206; SRC163</x:v>
      </x:c>
    </x:row>
    <x:row r="382" ht="58" customHeight="1">
      <x:c r="A382" s="43" t="str">
        <x:v>OP-PSY-0378</x:v>
      </x:c>
      <x:c r="B382" s="43" t="str">
        <x:v>PSY-126</x:v>
      </x:c>
      <x:c r="C382" s="43" t="str">
        <x:v>Sensation Seeking</x:v>
      </x:c>
      <x:c r="D382" s="43" t="str">
        <x:v>Aggregated behavior across situations relevant to Sensation Seeking</x:v>
      </x:c>
      <x:c r="E382" s="43" t="str">
        <x:v>Administrative / archival</x:v>
      </x:c>
      <x:c r="F382" s="43" t="str">
        <x:v>Repeated naturalistic indicators summarized across contexts</x:v>
      </x:c>
      <x:c r="G382" s="43" t="str">
        <x:v>Low</x:v>
      </x:c>
      <x:c r="H382" s="43" t="str">
        <x:v>Trait scores are probabilistic, instrument-dependent summaries; short forms and cross-cultural use can reduce reliability or equivalence. Aggregation requires adequate sampling of situations and should not be used to infer moral worth or diagnosis.</x:v>
      </x:c>
      <x:c r="I382" s="43" t="str">
        <x:v>SRC206; SRC163</x:v>
      </x:c>
    </x:row>
    <x:row r="383" ht="58" customHeight="1">
      <x:c r="A383" s="43" t="str">
        <x:v>OP-PSY-0379</x:v>
      </x:c>
      <x:c r="B383" s="43" t="str">
        <x:v>PSY-127</x:v>
      </x:c>
      <x:c r="C383" s="43" t="str">
        <x:v>Reward Sensitivity</x:v>
      </x:c>
      <x:c r="D383" s="43" t="str">
        <x:v>Construct-specific assessment: BAS score</x:v>
      </x:c>
      <x:c r="E383" s="43" t="str">
        <x:v>Self-report / assessment</x:v>
      </x:c>
      <x:c r="F383" s="43" t="str">
        <x:v>Low–high reward responsiveness or behavioral activation score</x:v>
      </x:c>
      <x:c r="G383" s="43" t="str">
        <x:v>Low</x:v>
      </x:c>
      <x:c r="H383" s="43" t="str">
        <x:v>Trait scores are probabilistic, instrument-dependent summaries; short forms and cross-cultural use can reduce reliability or equivalence. Use behavior-, target-, and time-specific wording and report reliability and invariance where relevant.</x:v>
      </x:c>
      <x:c r="I383" s="43" t="str">
        <x:v>SRC163; SRC111</x:v>
      </x:c>
    </x:row>
    <x:row r="384" ht="58" customHeight="1">
      <x:c r="A384" s="43" t="str">
        <x:v>OP-PSY-0380</x:v>
      </x:c>
      <x:c r="B384" s="43" t="str">
        <x:v>PSY-127</x:v>
      </x:c>
      <x:c r="C384" s="43" t="str">
        <x:v>Reward Sensitivity</x:v>
      </x:c>
      <x:c r="D384" s="43" t="str">
        <x:v>Informant report or longitudinal aggregate for Reward Sensitivity</x:v>
      </x:c>
      <x:c r="E384" s="43" t="str">
        <x:v>Other</x:v>
      </x:c>
      <x:c r="F384" s="43" t="str">
        <x:v>Validated informant form or aggregate standardized score</x:v>
      </x:c>
      <x:c r="G384" s="43" t="str">
        <x:v>Low</x:v>
      </x:c>
      <x:c r="H384" s="43" t="str">
        <x:v>Trait scores are probabilistic, instrument-dependent summaries; short forms and cross-cultural use can reduce reliability or equivalence. Informant opportunity and shared-method variance should be documented.</x:v>
      </x:c>
      <x:c r="I384" s="43" t="str">
        <x:v>SRC163; SRC111</x:v>
      </x:c>
    </x:row>
    <x:row r="385" ht="58" customHeight="1">
      <x:c r="A385" s="43" t="str">
        <x:v>OP-PSY-0381</x:v>
      </x:c>
      <x:c r="B385" s="43" t="str">
        <x:v>PSY-127</x:v>
      </x:c>
      <x:c r="C385" s="43" t="str">
        <x:v>Reward Sensitivity</x:v>
      </x:c>
      <x:c r="D385" s="43" t="str">
        <x:v>Aggregated behavior across situations relevant to Reward Sensitivity</x:v>
      </x:c>
      <x:c r="E385" s="43" t="str">
        <x:v>Administrative / archival</x:v>
      </x:c>
      <x:c r="F385" s="43" t="str">
        <x:v>Repeated naturalistic indicators summarized across contexts</x:v>
      </x:c>
      <x:c r="G385" s="43" t="str">
        <x:v>Low</x:v>
      </x:c>
      <x:c r="H385" s="43" t="str">
        <x:v>Trait scores are probabilistic, instrument-dependent summaries; short forms and cross-cultural use can reduce reliability or equivalence. Aggregation requires adequate sampling of situations and should not be used to infer moral worth or diagnosis.</x:v>
      </x:c>
      <x:c r="I385" s="43" t="str">
        <x:v>SRC163; SRC111</x:v>
      </x:c>
    </x:row>
    <x:row r="386" ht="58" customHeight="1">
      <x:c r="A386" s="43" t="str">
        <x:v>OP-PSY-0382</x:v>
      </x:c>
      <x:c r="B386" s="43" t="str">
        <x:v>PSY-128</x:v>
      </x:c>
      <x:c r="C386" s="43" t="str">
        <x:v>Punishment Sensitivity</x:v>
      </x:c>
      <x:c r="D386" s="43" t="str">
        <x:v>Construct-specific assessment: BIS score</x:v>
      </x:c>
      <x:c r="E386" s="43" t="str">
        <x:v>Self-report / assessment</x:v>
      </x:c>
      <x:c r="F386" s="43" t="str">
        <x:v>Low–high punishment sensitivity or behavioral inhibition score</x:v>
      </x:c>
      <x:c r="G386" s="43" t="str">
        <x:v>Low</x:v>
      </x:c>
      <x:c r="H386" s="43" t="str">
        <x:v>Trait scores are probabilistic, instrument-dependent summaries; short forms and cross-cultural use can reduce reliability or equivalence. Use behavior-, target-, and time-specific wording and report reliability and invariance where relevant.</x:v>
      </x:c>
      <x:c r="I386" s="43" t="str">
        <x:v>SRC163; SRC124</x:v>
      </x:c>
    </x:row>
    <x:row r="387" ht="58" customHeight="1">
      <x:c r="A387" s="43" t="str">
        <x:v>OP-PSY-0383</x:v>
      </x:c>
      <x:c r="B387" s="43" t="str">
        <x:v>PSY-128</x:v>
      </x:c>
      <x:c r="C387" s="43" t="str">
        <x:v>Punishment Sensitivity</x:v>
      </x:c>
      <x:c r="D387" s="43" t="str">
        <x:v>Informant report or longitudinal aggregate for Punishment Sensitivity</x:v>
      </x:c>
      <x:c r="E387" s="43" t="str">
        <x:v>Other</x:v>
      </x:c>
      <x:c r="F387" s="43" t="str">
        <x:v>Validated informant form or aggregate standardized score</x:v>
      </x:c>
      <x:c r="G387" s="43" t="str">
        <x:v>Low</x:v>
      </x:c>
      <x:c r="H387" s="43" t="str">
        <x:v>Trait scores are probabilistic, instrument-dependent summaries; short forms and cross-cultural use can reduce reliability or equivalence. Informant opportunity and shared-method variance should be documented.</x:v>
      </x:c>
      <x:c r="I387" s="43" t="str">
        <x:v>SRC163; SRC124</x:v>
      </x:c>
    </x:row>
    <x:row r="388" ht="58" customHeight="1">
      <x:c r="A388" s="43" t="str">
        <x:v>OP-PSY-0384</x:v>
      </x:c>
      <x:c r="B388" s="43" t="str">
        <x:v>PSY-128</x:v>
      </x:c>
      <x:c r="C388" s="43" t="str">
        <x:v>Punishment Sensitivity</x:v>
      </x:c>
      <x:c r="D388" s="43" t="str">
        <x:v>Aggregated behavior across situations relevant to Punishment Sensitivity</x:v>
      </x:c>
      <x:c r="E388" s="43" t="str">
        <x:v>Administrative / archival</x:v>
      </x:c>
      <x:c r="F388" s="43" t="str">
        <x:v>Repeated naturalistic indicators summarized across contexts</x:v>
      </x:c>
      <x:c r="G388" s="43" t="str">
        <x:v>Low</x:v>
      </x:c>
      <x:c r="H388" s="43" t="str">
        <x:v>Trait scores are probabilistic, instrument-dependent summaries; short forms and cross-cultural use can reduce reliability or equivalence. Aggregation requires adequate sampling of situations and should not be used to infer moral worth or diagnosis.</x:v>
      </x:c>
      <x:c r="I388" s="43" t="str">
        <x:v>SRC163; SRC124</x:v>
      </x:c>
    </x:row>
    <x:row r="389" ht="58" customHeight="1">
      <x:c r="A389" s="43" t="str">
        <x:v>OP-PSY-0385</x:v>
      </x:c>
      <x:c r="B389" s="43" t="str">
        <x:v>PSY-129</x:v>
      </x:c>
      <x:c r="C389" s="43" t="str">
        <x:v>Need for Cognition</x:v>
      </x:c>
      <x:c r="D389" s="43" t="str">
        <x:v>Construct-specific assessment: Need-for-cognition score</x:v>
      </x:c>
      <x:c r="E389" s="43" t="str">
        <x:v>Self-report / assessment</x:v>
      </x:c>
      <x:c r="F389" s="43" t="str">
        <x:v>Validated low–high need-for-cognition scale</x:v>
      </x:c>
      <x:c r="G389" s="43" t="str">
        <x:v>Low</x:v>
      </x:c>
      <x:c r="H389" s="43" t="str">
        <x:v>Trait scores are probabilistic, instrument-dependent summaries; short forms and cross-cultural use can reduce reliability or equivalence. Use behavior-, target-, and time-specific wording and report reliability and invariance where relevant.</x:v>
      </x:c>
      <x:c r="I389" s="43" t="str">
        <x:v>SRC162; SRC117</x:v>
      </x:c>
    </x:row>
    <x:row r="390" ht="58" customHeight="1">
      <x:c r="A390" s="43" t="str">
        <x:v>OP-PSY-0386</x:v>
      </x:c>
      <x:c r="B390" s="43" t="str">
        <x:v>PSY-129</x:v>
      </x:c>
      <x:c r="C390" s="43" t="str">
        <x:v>Need for Cognition</x:v>
      </x:c>
      <x:c r="D390" s="43" t="str">
        <x:v>Informant report or longitudinal aggregate for Need for Cognition</x:v>
      </x:c>
      <x:c r="E390" s="43" t="str">
        <x:v>Other</x:v>
      </x:c>
      <x:c r="F390" s="43" t="str">
        <x:v>Validated informant form or aggregate standardized score</x:v>
      </x:c>
      <x:c r="G390" s="43" t="str">
        <x:v>Low</x:v>
      </x:c>
      <x:c r="H390" s="43" t="str">
        <x:v>Trait scores are probabilistic, instrument-dependent summaries; short forms and cross-cultural use can reduce reliability or equivalence. Informant opportunity and shared-method variance should be documented.</x:v>
      </x:c>
      <x:c r="I390" s="43" t="str">
        <x:v>SRC162; SRC117</x:v>
      </x:c>
    </x:row>
    <x:row r="391" ht="58" customHeight="1">
      <x:c r="A391" s="43" t="str">
        <x:v>OP-PSY-0387</x:v>
      </x:c>
      <x:c r="B391" s="43" t="str">
        <x:v>PSY-129</x:v>
      </x:c>
      <x:c r="C391" s="43" t="str">
        <x:v>Need for Cognition</x:v>
      </x:c>
      <x:c r="D391" s="43" t="str">
        <x:v>Aggregated behavior across situations relevant to Need for Cognition</x:v>
      </x:c>
      <x:c r="E391" s="43" t="str">
        <x:v>Administrative / archival</x:v>
      </x:c>
      <x:c r="F391" s="43" t="str">
        <x:v>Repeated naturalistic indicators summarized across contexts</x:v>
      </x:c>
      <x:c r="G391" s="43" t="str">
        <x:v>Low</x:v>
      </x:c>
      <x:c r="H391" s="43" t="str">
        <x:v>Trait scores are probabilistic, instrument-dependent summaries; short forms and cross-cultural use can reduce reliability or equivalence. Aggregation requires adequate sampling of situations and should not be used to infer moral worth or diagnosis.</x:v>
      </x:c>
      <x:c r="I391" s="43" t="str">
        <x:v>SRC162; SRC117</x:v>
      </x:c>
    </x:row>
    <x:row r="392" ht="58" customHeight="1">
      <x:c r="A392" s="43" t="str">
        <x:v>OP-PSY-0388</x:v>
      </x:c>
      <x:c r="B392" s="43" t="str">
        <x:v>PSY-130</x:v>
      </x:c>
      <x:c r="C392" s="43" t="str">
        <x:v>Need for Closure</x:v>
      </x:c>
      <x:c r="D392" s="43" t="str">
        <x:v>Construct-specific assessment: Closure scale</x:v>
      </x:c>
      <x:c r="E392" s="43" t="str">
        <x:v>Self-report / assessment</x:v>
      </x:c>
      <x:c r="F392" s="43" t="str">
        <x:v>Low–high need-for-closure scale with urgency and permanence facets</x:v>
      </x:c>
      <x:c r="G392" s="43" t="str">
        <x:v>Low</x:v>
      </x:c>
      <x:c r="H392" s="43" t="str">
        <x:v>Trait scores are probabilistic, instrument-dependent summaries; short forms and cross-cultural use can reduce reliability or equivalence. Use behavior-, target-, and time-specific wording and report reliability and invariance where relevant.</x:v>
      </x:c>
      <x:c r="I392" s="43" t="str">
        <x:v>SRC119; SRC123</x:v>
      </x:c>
    </x:row>
    <x:row r="393" ht="58" customHeight="1">
      <x:c r="A393" s="43" t="str">
        <x:v>OP-PSY-0389</x:v>
      </x:c>
      <x:c r="B393" s="43" t="str">
        <x:v>PSY-130</x:v>
      </x:c>
      <x:c r="C393" s="43" t="str">
        <x:v>Need for Closure</x:v>
      </x:c>
      <x:c r="D393" s="43" t="str">
        <x:v>Informant report or longitudinal aggregate for Need for Closure</x:v>
      </x:c>
      <x:c r="E393" s="43" t="str">
        <x:v>Other</x:v>
      </x:c>
      <x:c r="F393" s="43" t="str">
        <x:v>Validated informant form or aggregate standardized score</x:v>
      </x:c>
      <x:c r="G393" s="43" t="str">
        <x:v>Low</x:v>
      </x:c>
      <x:c r="H393" s="43" t="str">
        <x:v>Trait scores are probabilistic, instrument-dependent summaries; short forms and cross-cultural use can reduce reliability or equivalence. Informant opportunity and shared-method variance should be documented.</x:v>
      </x:c>
      <x:c r="I393" s="43" t="str">
        <x:v>SRC119; SRC123</x:v>
      </x:c>
    </x:row>
    <x:row r="394" ht="58" customHeight="1">
      <x:c r="A394" s="43" t="str">
        <x:v>OP-PSY-0390</x:v>
      </x:c>
      <x:c r="B394" s="43" t="str">
        <x:v>PSY-130</x:v>
      </x:c>
      <x:c r="C394" s="43" t="str">
        <x:v>Need for Closure</x:v>
      </x:c>
      <x:c r="D394" s="43" t="str">
        <x:v>Aggregated behavior across situations relevant to Need for Closure</x:v>
      </x:c>
      <x:c r="E394" s="43" t="str">
        <x:v>Administrative / archival</x:v>
      </x:c>
      <x:c r="F394" s="43" t="str">
        <x:v>Repeated naturalistic indicators summarized across contexts</x:v>
      </x:c>
      <x:c r="G394" s="43" t="str">
        <x:v>Low</x:v>
      </x:c>
      <x:c r="H394" s="43" t="str">
        <x:v>Trait scores are probabilistic, instrument-dependent summaries; short forms and cross-cultural use can reduce reliability or equivalence. Aggregation requires adequate sampling of situations and should not be used to infer moral worth or diagnosis.</x:v>
      </x:c>
      <x:c r="I394" s="43" t="str">
        <x:v>SRC119; SRC123</x:v>
      </x:c>
    </x:row>
    <x:row r="395" ht="58" customHeight="1">
      <x:c r="A395" s="43" t="str">
        <x:v>OP-PSY-0391</x:v>
      </x:c>
      <x:c r="B395" s="43" t="str">
        <x:v>PSY-131</x:v>
      </x:c>
      <x:c r="C395" s="43" t="str">
        <x:v>Intolerance of Uncertainty</x:v>
      </x:c>
      <x:c r="D395" s="43" t="str">
        <x:v>Construct-specific assessment: IU scale</x:v>
      </x:c>
      <x:c r="E395" s="43" t="str">
        <x:v>Self-report / assessment</x:v>
      </x:c>
      <x:c r="F395" s="43" t="str">
        <x:v>Validated low–high intolerance-of-uncertainty scale</x:v>
      </x:c>
      <x:c r="G395" s="43" t="str">
        <x:v>Low</x:v>
      </x:c>
      <x:c r="H395" s="43" t="str">
        <x:v>Trait scores are probabilistic, instrument-dependent summaries; short forms and cross-cultural use can reduce reliability or equivalence. Use behavior-, target-, and time-specific wording and report reliability and invariance where relevant.</x:v>
      </x:c>
      <x:c r="I395" s="43" t="str">
        <x:v>SRC123; SRC207</x:v>
      </x:c>
    </x:row>
    <x:row r="396" ht="58" customHeight="1">
      <x:c r="A396" s="43" t="str">
        <x:v>OP-PSY-0392</x:v>
      </x:c>
      <x:c r="B396" s="43" t="str">
        <x:v>PSY-131</x:v>
      </x:c>
      <x:c r="C396" s="43" t="str">
        <x:v>Intolerance of Uncertainty</x:v>
      </x:c>
      <x:c r="D396" s="43" t="str">
        <x:v>Informant report or longitudinal aggregate for Intolerance of Uncertainty</x:v>
      </x:c>
      <x:c r="E396" s="43" t="str">
        <x:v>Other</x:v>
      </x:c>
      <x:c r="F396" s="43" t="str">
        <x:v>Validated informant form or aggregate standardized score</x:v>
      </x:c>
      <x:c r="G396" s="43" t="str">
        <x:v>Low</x:v>
      </x:c>
      <x:c r="H396" s="43" t="str">
        <x:v>Trait scores are probabilistic, instrument-dependent summaries; short forms and cross-cultural use can reduce reliability or equivalence. Informant opportunity and shared-method variance should be documented.</x:v>
      </x:c>
      <x:c r="I396" s="43" t="str">
        <x:v>SRC123; SRC207</x:v>
      </x:c>
    </x:row>
    <x:row r="397" ht="58" customHeight="1">
      <x:c r="A397" s="43" t="str">
        <x:v>OP-PSY-0393</x:v>
      </x:c>
      <x:c r="B397" s="43" t="str">
        <x:v>PSY-131</x:v>
      </x:c>
      <x:c r="C397" s="43" t="str">
        <x:v>Intolerance of Uncertainty</x:v>
      </x:c>
      <x:c r="D397" s="43" t="str">
        <x:v>Aggregated behavior across situations relevant to Intolerance of Uncertainty</x:v>
      </x:c>
      <x:c r="E397" s="43" t="str">
        <x:v>Administrative / archival</x:v>
      </x:c>
      <x:c r="F397" s="43" t="str">
        <x:v>Repeated naturalistic indicators summarized across contexts</x:v>
      </x:c>
      <x:c r="G397" s="43" t="str">
        <x:v>Low</x:v>
      </x:c>
      <x:c r="H397" s="43" t="str">
        <x:v>Trait scores are probabilistic, instrument-dependent summaries; short forms and cross-cultural use can reduce reliability or equivalence. Aggregation requires adequate sampling of situations and should not be used to infer moral worth or diagnosis.</x:v>
      </x:c>
      <x:c r="I397" s="43" t="str">
        <x:v>SRC123; SRC207</x:v>
      </x:c>
    </x:row>
  </x:sheetData>
  <x:mergeCells>
    <x:mergeCell ref="A1:I1"/>
    <x:mergeCell ref="A2:I2"/>
  </x:mergeCells>
  <x:dataValidations count="2">
    <x:dataValidation type="list" sqref="E5:E397">
      <x:formula1>"Self-report / assessment,Physiological / sensor,Behavioral / clinical assessment,Administrative / archival,Expert elicitation,Other"</x:formula1>
    </x:dataValidation>
    <x:dataValidation type="list" sqref="G5:G397">
      <x:formula1>"High,Moderate,Low"</x:formula1>
    </x:dataValidation>
  </x:dataValidations>
  <x:pageMargins left="0.7" right="0.7" top="0.75" bottom="0.75" header="0.3" footer="0.3"/>
  <x:tableParts count="1">
    <x:tablePart xmlns:r="http://schemas.openxmlformats.org/officeDocument/2006/relationships" r:id="Rca6905e50fb3437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36" hidden="0" customWidth="1"/>
    <x:col min="3" max="3" width="24" hidden="0" customWidth="1"/>
    <x:col min="4" max="4" width="24" hidden="0" customWidth="1"/>
    <x:col min="5" max="5" width="28" hidden="0" customWidth="1"/>
    <x:col min="6" max="6" width="48" hidden="0" customWidth="1"/>
    <x:col min="7" max="7" width="52" hidden="0" customWidth="1"/>
    <x:col min="8" max="8" width="34" hidden="0" customWidth="1"/>
  </x:cols>
  <x:sheetData>
    <x:row r="1" ht="30" customHeight="1">
      <x:c r="A1" s="46" t="str">
        <x:v>PSYWERX Psychological Driver Ontology — Cautions &amp; Exclusions</x:v>
      </x:c>
      <x:c r="B1" s="46"/>
      <x:c r="C1" s="46"/>
      <x:c r="D1" s="46"/>
      <x:c r="E1" s="46"/>
      <x:c r="F1" s="46"/>
      <x:c r="G1" s="46"/>
      <x:c r="H1" s="46"/>
    </x:row>
    <x:row r="2" ht="42" customHeight="1">
      <x:c r="A2" s="49" t="str">
        <x:v>Scientific cautions, boundary rules, exclusions, and a complete legacy migration ledger. Every one of the 80 source candidates has an explicit disposition and canonical target where applicable.</x:v>
      </x:c>
      <x:c r="B2" s="49"/>
      <x:c r="C2" s="49"/>
      <x:c r="D2" s="49"/>
      <x:c r="E2" s="49"/>
      <x:c r="F2" s="49"/>
      <x:c r="G2" s="49"/>
      <x:c r="H2" s="49"/>
    </x:row>
    <x:row r="3" ht="8" customHeight="1">
      <x:c r="A3" s="43"/>
      <x:c r="B3" s="43"/>
      <x:c r="C3" s="43"/>
      <x:c r="D3" s="43"/>
      <x:c r="E3" s="43"/>
      <x:c r="F3" s="43"/>
      <x:c r="G3" s="43"/>
      <x:c r="H3" s="43"/>
    </x:row>
    <x:row r="4" ht="46" customHeight="1">
      <x:c r="A4" s="52" t="str">
        <x:v>Record ID</x:v>
      </x:c>
      <x:c r="B4" s="52" t="str">
        <x:v>Candidate / Claim</x:v>
      </x:c>
      <x:c r="C4" s="52" t="str">
        <x:v>Record Type</x:v>
      </x:c>
      <x:c r="D4" s="52" t="str">
        <x:v>Disposition</x:v>
      </x:c>
      <x:c r="E4" s="52" t="str">
        <x:v>Canonical Target ID</x:v>
      </x:c>
      <x:c r="F4" s="52" t="str">
        <x:v>Rationale / Rule</x:v>
      </x:c>
      <x:c r="G4" s="52" t="str">
        <x:v>Evidence / Notes</x:v>
      </x:c>
      <x:c r="H4" s="52" t="str">
        <x:v>Cross-Layer Flag</x:v>
      </x:c>
    </x:row>
    <x:row r="5" ht="62" customHeight="1">
      <x:c r="A5" s="43" t="str">
        <x:v>CAU-025</x:v>
      </x:c>
      <x:c r="B5" s="43" t="str">
        <x:v>Attitude–behavior sufficiency</x:v>
      </x:c>
      <x:c r="C5" s="43" t="str">
        <x:v>Scientific caution</x:v>
      </x:c>
      <x:c r="D5" s="43" t="str">
        <x:v>Retained</x:v>
      </x:c>
      <x:c r="E5" s="43" t="str">
        <x:v>PSY-001</x:v>
      </x:c>
      <x:c r="F5" s="43" t="str">
        <x:v>Attitude is a behavior-specific evaluation, not proof of intention or action.</x:v>
      </x:c>
      <x:c r="G5" s="43" t="str">
        <x:v>Capability, opportunity, habit, goal conflict, and temporal alignment can dominate.</x:v>
      </x:c>
      <x:c r="H5" s="43" t="str"/>
    </x:row>
    <x:row r="6" ht="62" customHeight="1">
      <x:c r="A6" s="43" t="str">
        <x:v>CAU-026</x:v>
      </x:c>
      <x:c r="B6" s="43" t="str">
        <x:v>Intention–behavior gap</x:v>
      </x:c>
      <x:c r="C6" s="43" t="str">
        <x:v>Scientific caution</x:v>
      </x:c>
      <x:c r="D6" s="43" t="str">
        <x:v>Retained</x:v>
      </x:c>
      <x:c r="E6" s="43" t="str">
        <x:v>PSY-026</x:v>
      </x:c>
      <x:c r="F6" s="43" t="str">
        <x:v>Intention is a proximal psychological driver but not the behavior itself.</x:v>
      </x:c>
      <x:c r="G6" s="43" t="str">
        <x:v>Substantial intention–behavior gaps remain across domains.</x:v>
      </x:c>
      <x:c r="H6" s="43" t="str"/>
    </x:row>
    <x:row r="7" ht="62" customHeight="1">
      <x:c r="A7" s="43" t="str">
        <x:v>CAU-027</x:v>
      </x:c>
      <x:c r="B7" s="43" t="str">
        <x:v>Self-efficacy versus actual capability</x:v>
      </x:c>
      <x:c r="C7" s="43" t="str">
        <x:v>Boundary decision</x:v>
      </x:c>
      <x:c r="D7" s="43" t="str">
        <x:v>Retained</x:v>
      </x:c>
      <x:c r="E7" s="43" t="str">
        <x:v>PSY-011</x:v>
      </x:c>
      <x:c r="F7" s="43" t="str">
        <x:v>Retain perceived capability in Psychological; actual skill and bodily capacity belong to other variables or layers.</x:v>
      </x:c>
      <x:c r="G7" s="43" t="str">
        <x:v>Use task-specific measures and avoid motivation-contaminated items.</x:v>
      </x:c>
      <x:c r="H7" s="43" t="str">
        <x:v>Biological; Institutional / Structural; Physical / Environmental</x:v>
      </x:c>
    </x:row>
    <x:row r="8" ht="62" customHeight="1">
      <x:c r="A8" s="43" t="str">
        <x:v>CAU-028</x:v>
      </x:c>
      <x:c r="B8" s="43" t="str">
        <x:v>Perceived control versus actual control</x:v>
      </x:c>
      <x:c r="C8" s="43" t="str">
        <x:v>Boundary decision</x:v>
      </x:c>
      <x:c r="D8" s="43" t="str">
        <x:v>Retained</x:v>
      </x:c>
      <x:c r="E8" s="43" t="str">
        <x:v>PSY-012</x:v>
      </x:c>
      <x:c r="F8" s="43" t="str">
        <x:v>Retain the appraisal in Psychological; actual resources, rules, and constraints stay in their native layers.</x:v>
      </x:c>
      <x:c r="G8" s="43" t="str">
        <x:v>Direct effects require perceived control to track actual control.</x:v>
      </x:c>
      <x:c r="H8" s="43" t="str">
        <x:v>Institutional / Structural; Physical / Environmental</x:v>
      </x:c>
    </x:row>
    <x:row r="9" ht="62" customHeight="1">
      <x:c r="A9" s="43" t="str">
        <x:v>CAU-029</x:v>
      </x:c>
      <x:c r="B9" s="43" t="str">
        <x:v>Perceived norm versus actual norm</x:v>
      </x:c>
      <x:c r="C9" s="43" t="str">
        <x:v>Boundary decision</x:v>
      </x:c>
      <x:c r="D9" s="43" t="str">
        <x:v>Retained</x:v>
      </x:c>
      <x:c r="E9" s="43" t="str">
        <x:v>PSY-016; PSY-017</x:v>
      </x:c>
      <x:c r="F9" s="43" t="str">
        <x:v>Psychological records represent an individual's estimate; observed prevalence and collective approval belong to Social or Cultural.</x:v>
      </x:c>
      <x:c r="G9" s="43" t="str">
        <x:v>Do not infer group prevalence from one person's norm perception.</x:v>
      </x:c>
      <x:c r="H9" s="43" t="str">
        <x:v>Social; Cultural</x:v>
      </x:c>
    </x:row>
    <x:row r="10" ht="62" customHeight="1">
      <x:c r="A10" s="43" t="str">
        <x:v>CAU-030</x:v>
      </x:c>
      <x:c r="B10" s="43" t="str">
        <x:v>Perceived support versus received support</x:v>
      </x:c>
      <x:c r="C10" s="43" t="str">
        <x:v>Boundary decision</x:v>
      </x:c>
      <x:c r="D10" s="43" t="str">
        <x:v>Retained</x:v>
      </x:c>
      <x:c r="E10" s="43" t="str">
        <x:v>PSY-019</x:v>
      </x:c>
      <x:c r="F10" s="43" t="str">
        <x:v>Perceived availability is psychological; enacted support and network resources are social conditions.</x:v>
      </x:c>
      <x:c r="G10" s="43" t="str">
        <x:v>Perceived and received support can diverge.</x:v>
      </x:c>
      <x:c r="H10" s="43" t="str">
        <x:v>Social</x:v>
      </x:c>
    </x:row>
    <x:row r="11" ht="62" customHeight="1">
      <x:c r="A11" s="43" t="str">
        <x:v>CAU-031</x:v>
      </x:c>
      <x:c r="B11" s="43" t="str">
        <x:v>Subjective arousal versus physiology</x:v>
      </x:c>
      <x:c r="C11" s="43" t="str">
        <x:v>Boundary decision</x:v>
      </x:c>
      <x:c r="D11" s="43" t="str">
        <x:v>Retained</x:v>
      </x:c>
      <x:c r="E11" s="43" t="str">
        <x:v>PSY-051</x:v>
      </x:c>
      <x:c r="F11" s="43" t="str">
        <x:v>The Psychological driver is felt activation; autonomic activation and biomarkers remain Biological.</x:v>
      </x:c>
      <x:c r="G11" s="43" t="str">
        <x:v>Self-report and physiology may dissociate.</x:v>
      </x:c>
      <x:c r="H11" s="43" t="str">
        <x:v>Biological</x:v>
      </x:c>
    </x:row>
    <x:row r="12" ht="62" customHeight="1">
      <x:c r="A12" s="43" t="str">
        <x:v>CAU-032</x:v>
      </x:c>
      <x:c r="B12" s="43" t="str">
        <x:v>Emotion does not have a universal effect</x:v>
      </x:c>
      <x:c r="C12" s="43" t="str">
        <x:v>Scientific caution</x:v>
      </x:c>
      <x:c r="D12" s="43" t="str">
        <x:v>Retained</x:v>
      </x:c>
      <x:c r="E12" s="43" t="str">
        <x:v>PSY-041; PSY-043; PSY-042</x:v>
      </x:c>
      <x:c r="F12" s="43" t="str">
        <x:v>Discrete emotions operate through appraisals and context, not fixed one-direction behavioral rules.</x:v>
      </x:c>
      <x:c r="G12" s="43" t="str">
        <x:v>Target, control, efficacy, regulation, and culture moderate effects.</x:v>
      </x:c>
      <x:c r="H12" s="43" t="str"/>
    </x:row>
    <x:row r="13" ht="62" customHeight="1">
      <x:c r="A13" s="43" t="str">
        <x:v>CAU-033</x:v>
      </x:c>
      <x:c r="B13" s="43" t="str">
        <x:v>Fear is not compliance</x:v>
      </x:c>
      <x:c r="C13" s="43" t="str">
        <x:v>Scientific caution</x:v>
      </x:c>
      <x:c r="D13" s="43" t="str">
        <x:v>Retained</x:v>
      </x:c>
      <x:c r="E13" s="43" t="str">
        <x:v>PSY-041</x:v>
      </x:c>
      <x:c r="F13" s="43" t="str">
        <x:v>Fear can support protection, denial, avoidance, freezing, or resistance depending on efficacy and control.</x:v>
      </x:c>
      <x:c r="G13" s="43" t="str">
        <x:v>High-threat messages without efficacy can be counterproductive.</x:v>
      </x:c>
      <x:c r="H13" s="43" t="str"/>
    </x:row>
    <x:row r="14" ht="62" customHeight="1">
      <x:c r="A14" s="43" t="str">
        <x:v>CAU-034</x:v>
      </x:c>
      <x:c r="B14" s="43" t="str">
        <x:v>Cognitive task impurity</x:v>
      </x:c>
      <x:c r="C14" s="43" t="str">
        <x:v>Measurement caution</x:v>
      </x:c>
      <x:c r="D14" s="43" t="str">
        <x:v>Retained</x:v>
      </x:c>
      <x:c r="E14" s="43" t="str">
        <x:v>PSY-058; PSY-080; PSY-081; PSY-062</x:v>
      </x:c>
      <x:c r="F14" s="43" t="str">
        <x:v>Single tasks mix multiple processes and often have limited cross-task reliability.</x:v>
      </x:c>
      <x:c r="G14" s="43" t="str">
        <x:v>Use multiple indicators and distinguish speed–accuracy strategy from capacity.</x:v>
      </x:c>
      <x:c r="H14" s="43" t="str"/>
    </x:row>
    <x:row r="15" ht="62" customHeight="1">
      <x:c r="A15" s="43" t="str">
        <x:v>CAU-035</x:v>
      </x:c>
      <x:c r="B15" s="43" t="str">
        <x:v>Habit is not repetition</x:v>
      </x:c>
      <x:c r="C15" s="43" t="str">
        <x:v>Scientific caution</x:v>
      </x:c>
      <x:c r="D15" s="43" t="str">
        <x:v>Retained</x:v>
      </x:c>
      <x:c r="E15" s="43" t="str">
        <x:v>PSY-070</x:v>
      </x:c>
      <x:c r="F15" s="43" t="str">
        <x:v>Repeated behavior can remain deliberate; habit specifically requires learned cue-linked propensity.</x:v>
      </x:c>
      <x:c r="G15" s="43" t="str">
        <x:v>Assess context stability and automaticity separately.</x:v>
      </x:c>
      <x:c r="H15" s="43" t="str"/>
    </x:row>
    <x:row r="16" ht="62" customHeight="1">
      <x:c r="A16" s="43" t="str">
        <x:v>CAU-036</x:v>
      </x:c>
      <x:c r="B16" s="43" t="str">
        <x:v>Automaticity is not identical to habit</x:v>
      </x:c>
      <x:c r="C16" s="43" t="str">
        <x:v>Scientific caution</x:v>
      </x:c>
      <x:c r="D16" s="43" t="str">
        <x:v>Retained</x:v>
      </x:c>
      <x:c r="E16" s="43" t="str">
        <x:v>PSY-071</x:v>
      </x:c>
      <x:c r="F16" s="43" t="str">
        <x:v>Automaticity is multidimensional and may arise through pathways other than habit.</x:v>
      </x:c>
      <x:c r="G16" s="43" t="str">
        <x:v>Do not collapse frequency, speed, lack of awareness, efficiency, and unintentionality.</x:v>
      </x:c>
      <x:c r="H16" s="43" t="str"/>
    </x:row>
    <x:row r="17" ht="62" customHeight="1">
      <x:c r="A17" s="43" t="str">
        <x:v>CAU-037</x:v>
      </x:c>
      <x:c r="B17" s="43" t="str">
        <x:v>Named biases are context-sensitive parameters</x:v>
      </x:c>
      <x:c r="C17" s="43" t="str">
        <x:v>Scientific caution</x:v>
      </x:c>
      <x:c r="D17" s="43" t="str">
        <x:v>Retained</x:v>
      </x:c>
      <x:c r="E17" s="43" t="str">
        <x:v>PSY-084; PSY-087; PSY-090; PSY-093</x:v>
      </x:c>
      <x:c r="F17" s="43" t="str">
        <x:v>Decision regularities vary by task, domain, stakes, reference point, and estimation model.</x:v>
      </x:c>
      <x:c r="G17" s="43" t="str">
        <x:v>Avoid labeling individuals irrational from one task.</x:v>
      </x:c>
      <x:c r="H17" s="43" t="str"/>
    </x:row>
    <x:row r="18" ht="62" customHeight="1">
      <x:c r="A18" s="43" t="str">
        <x:v>CAU-038</x:v>
      </x:c>
      <x:c r="B18" s="43" t="str">
        <x:v>Identity is not demographic membership</x:v>
      </x:c>
      <x:c r="C18" s="43" t="str">
        <x:v>Boundary decision</x:v>
      </x:c>
      <x:c r="D18" s="43" t="str">
        <x:v>Retained</x:v>
      </x:c>
      <x:c r="E18" s="43" t="str">
        <x:v>PSY-097; PSY-095; PSY-096</x:v>
      </x:c>
      <x:c r="F18" s="43" t="str">
        <x:v>Group membership is not itself a psychological driver; identification strength, salience, and content must be represented.</x:v>
      </x:c>
      <x:c r="G18" s="43" t="str">
        <x:v>Do not infer identity from a demographic label.</x:v>
      </x:c>
      <x:c r="H18" s="43" t="str">
        <x:v>Social; Cultural</x:v>
      </x:c>
    </x:row>
    <x:row r="19" ht="62" customHeight="1">
      <x:c r="A19" s="43" t="str">
        <x:v>CAU-039</x:v>
      </x:c>
      <x:c r="B19" s="43" t="str">
        <x:v>Identity fusion is not ordinary identification</x:v>
      </x:c>
      <x:c r="C19" s="43" t="str">
        <x:v>Scientific caution</x:v>
      </x:c>
      <x:c r="D19" s="43" t="str">
        <x:v>Retained</x:v>
      </x:c>
      <x:c r="E19" s="43" t="str">
        <x:v>PSY-098</x:v>
      </x:c>
      <x:c r="F19" s="43" t="str">
        <x:v>Fusion is a distinct high-alignment construct and should not be used as a synonym for belonging or group identification.</x:v>
      </x:c>
      <x:c r="G19" s="43" t="str">
        <x:v>Evidence is growing but concentrated in selected groups and costly-action outcomes.</x:v>
      </x:c>
      <x:c r="H19" s="43" t="str"/>
    </x:row>
    <x:row r="20" ht="62" customHeight="1">
      <x:c r="A20" s="43" t="str">
        <x:v>CAU-040</x:v>
      </x:c>
      <x:c r="B20" s="43" t="str">
        <x:v>Moral conviction is not moral correctness</x:v>
      </x:c>
      <x:c r="C20" s="43" t="str">
        <x:v>Scientific caution</x:v>
      </x:c>
      <x:c r="D20" s="43" t="str">
        <x:v>Retained</x:v>
      </x:c>
      <x:c r="E20" s="43" t="str">
        <x:v>PSY-110</x:v>
      </x:c>
      <x:c r="F20" s="43" t="str">
        <x:v>Conviction strength describes psychological moralization, not ethical validity or factual accuracy.</x:v>
      </x:c>
      <x:c r="G20" s="43" t="str">
        <x:v>Opposing positions can both be held with strong moral conviction.</x:v>
      </x:c>
      <x:c r="H20" s="43" t="str"/>
    </x:row>
    <x:row r="21" ht="62" customHeight="1">
      <x:c r="A21" s="43" t="str">
        <x:v>CAU-041</x:v>
      </x:c>
      <x:c r="B21" s="43" t="str">
        <x:v>Source credibility is perceived</x:v>
      </x:c>
      <x:c r="C21" s="43" t="str">
        <x:v>Boundary decision</x:v>
      </x:c>
      <x:c r="D21" s="43" t="str">
        <x:v>Retained</x:v>
      </x:c>
      <x:c r="E21" s="43" t="str">
        <x:v>PSY-113</x:v>
      </x:c>
      <x:c r="F21" s="43" t="str">
        <x:v>The driver is a perceiver-specific judgment; objective expertise, identity, or track record belongs to source/informational records.</x:v>
      </x:c>
      <x:c r="G21" s="43" t="str">
        <x:v>Credibility dimensions and effects are heterogeneous.</x:v>
      </x:c>
      <x:c r="H21" s="43" t="str">
        <x:v>Informational; Social</x:v>
      </x:c>
    </x:row>
    <x:row r="22" ht="62" customHeight="1">
      <x:c r="A22" s="43" t="str">
        <x:v>CAU-042</x:v>
      </x:c>
      <x:c r="B22" s="43" t="str">
        <x:v>Fluency is not truth</x:v>
      </x:c>
      <x:c r="C22" s="43" t="str">
        <x:v>Scientific caution</x:v>
      </x:c>
      <x:c r="D22" s="43" t="str">
        <x:v>Retained</x:v>
      </x:c>
      <x:c r="E22" s="43" t="str">
        <x:v>PSY-061</x:v>
      </x:c>
      <x:c r="F22" s="43" t="str">
        <x:v>Processing ease is a metacognitive cue, not evidence that content is accurate.</x:v>
      </x:c>
      <x:c r="G22" s="43" t="str">
        <x:v>Attribution and expectations determine whether ease increases or decreases acceptance.</x:v>
      </x:c>
      <x:c r="H22" s="43" t="str"/>
    </x:row>
    <x:row r="23" ht="62" customHeight="1">
      <x:c r="A23" s="43" t="str">
        <x:v>CAU-043</x:v>
      </x:c>
      <x:c r="B23" s="43" t="str">
        <x:v>Familiarity is not recollection or accuracy</x:v>
      </x:c>
      <x:c r="C23" s="43" t="str">
        <x:v>Scientific caution</x:v>
      </x:c>
      <x:c r="D23" s="43" t="str">
        <x:v>Retained</x:v>
      </x:c>
      <x:c r="E23" s="43" t="str">
        <x:v>PSY-067</x:v>
      </x:c>
      <x:c r="F23" s="43" t="str">
        <x:v>A feeling of prior exposure can arise without accurate memory of source or content.</x:v>
      </x:c>
      <x:c r="G23" s="43" t="str">
        <x:v>Measure recollection and accuracy separately where they matter.</x:v>
      </x:c>
      <x:c r="H23" s="43" t="str"/>
    </x:row>
    <x:row r="24" ht="62" customHeight="1">
      <x:c r="A24" s="43" t="str">
        <x:v>CAU-044</x:v>
      </x:c>
      <x:c r="B24" s="43" t="str">
        <x:v>Confidence is not accuracy</x:v>
      </x:c>
      <x:c r="C24" s="43" t="str">
        <x:v>Scientific caution</x:v>
      </x:c>
      <x:c r="D24" s="43" t="str">
        <x:v>Retained</x:v>
      </x:c>
      <x:c r="E24" s="43" t="str">
        <x:v>PSY-116; PSY-068</x:v>
      </x:c>
      <x:c r="F24" s="43" t="str">
        <x:v>Confidence can be calibrated or miscalibrated and depends on task and procedure.</x:v>
      </x:c>
      <x:c r="G24" s="43" t="str">
        <x:v>Report confidence–accuracy relationships rather than assuming equivalence.</x:v>
      </x:c>
      <x:c r="H24" s="43" t="str"/>
    </x:row>
    <x:row r="25" ht="62" customHeight="1">
      <x:c r="A25" s="43" t="str">
        <x:v>CAU-045</x:v>
      </x:c>
      <x:c r="B25" s="43" t="str">
        <x:v>Freedom threat precedes reactance</x:v>
      </x:c>
      <x:c r="C25" s="43" t="str">
        <x:v>Scientific caution</x:v>
      </x:c>
      <x:c r="D25" s="43" t="str">
        <x:v>Retained</x:v>
      </x:c>
      <x:c r="E25" s="43" t="str">
        <x:v>PSY-108; PSY-109</x:v>
      </x:c>
      <x:c r="F25" s="43" t="str">
        <x:v>A perceived restriction is an upstream appraisal; reactance is the resulting motivational state.</x:v>
      </x:c>
      <x:c r="G25" s="43" t="str">
        <x:v>Trait reactance should not substitute for event-specific state assessment.</x:v>
      </x:c>
      <x:c r="H25" s="43" t="str"/>
    </x:row>
    <x:row r="26" ht="62" customHeight="1">
      <x:c r="A26" s="43" t="str">
        <x:v>CAU-046</x:v>
      </x:c>
      <x:c r="B26" s="43" t="str">
        <x:v>Broad traits are probabilistic modifiers</x:v>
      </x:c>
      <x:c r="C26" s="43" t="str">
        <x:v>Scientific caution</x:v>
      </x:c>
      <x:c r="D26" s="43" t="str">
        <x:v>Retained</x:v>
      </x:c>
      <x:c r="E26" s="43" t="str">
        <x:v>PSY-120; PSY-121; PSY-122; PSY-123; PSY-124</x:v>
      </x:c>
      <x:c r="F26" s="43" t="str">
        <x:v>Big Five traits are broad dispositional parameters, not deterministic causal explanations or intervention targets by default.</x:v>
      </x:c>
      <x:c r="G26" s="43" t="str">
        <x:v>Retain situational variables and facet structure when precision matters.</x:v>
      </x:c>
      <x:c r="H26" s="43" t="str"/>
    </x:row>
    <x:row r="27" ht="62" customHeight="1">
      <x:c r="A27" s="43" t="str">
        <x:v>CAU-047</x:v>
      </x:c>
      <x:c r="B27" s="43" t="str">
        <x:v>Diagnoses and syndromes excluded</x:v>
      </x:c>
      <x:c r="C27" s="43" t="str">
        <x:v>Exclusion rule</x:v>
      </x:c>
      <x:c r="D27" s="43" t="str">
        <x:v>Excluded / reclassified</x:v>
      </x:c>
      <x:c r="E27" s="43" t="str"/>
      <x:c r="F27" s="43" t="str">
        <x:v>Diagnoses aggregate symptoms and processes and are not canonical Psychological drivers in this layer.</x:v>
      </x:c>
      <x:c r="G27" s="43" t="str">
        <x:v>Represent specific variable states such as anxiety intensity, perceived helplessness, or control capacity.</x:v>
      </x:c>
      <x:c r="H27" s="43" t="str">
        <x:v>Biological; Psychological</x:v>
      </x:c>
    </x:row>
    <x:row r="28" ht="62" customHeight="1">
      <x:c r="A28" s="43" t="str">
        <x:v>CAU-048</x:v>
      </x:c>
      <x:c r="B28" s="43" t="str">
        <x:v>Behaviors and outcomes excluded</x:v>
      </x:c>
      <x:c r="C28" s="43" t="str">
        <x:v>Exclusion rule</x:v>
      </x:c>
      <x:c r="D28" s="43" t="str">
        <x:v>Excluded / reclassified</x:v>
      </x:c>
      <x:c r="E28" s="43" t="str"/>
      <x:c r="F28" s="43" t="str">
        <x:v>Voting, sharing, complying, purchasing, radicalization, performance, and similar behaviors/outcomes are modeled downstream, not included merely as drivers.</x:v>
      </x:c>
      <x:c r="G28" s="43" t="str">
        <x:v>A behavior may be an upstream node in a separate causal graph but is not classified as a driver here by default.</x:v>
      </x:c>
      <x:c r="H28" s="43" t="str">
        <x:v>Cross-layer</x:v>
      </x:c>
    </x:row>
    <x:row r="29" ht="62" customHeight="1">
      <x:c r="A29" s="43" t="str">
        <x:v>CAU-049</x:v>
      </x:c>
      <x:c r="B29" s="43" t="str">
        <x:v>Measures are not drivers</x:v>
      </x:c>
      <x:c r="C29" s="43" t="str">
        <x:v>Exclusion rule</x:v>
      </x:c>
      <x:c r="D29" s="43" t="str">
        <x:v>Excluded / reclassified</x:v>
      </x:c>
      <x:c r="E29" s="43" t="str"/>
      <x:c r="F29" s="43" t="str">
        <x:v>Scale totals, response times, gaze dwell, biomarker levels, and task scores are operationalizations unless the measured state itself has independent causal meaning.</x:v>
      </x:c>
      <x:c r="G29" s="43" t="str">
        <x:v>Use the Operationalizations sheet to preserve measurement detail.</x:v>
      </x:c>
      <x:c r="H29" s="43" t="str">
        <x:v>Biological; Technological</x:v>
      </x:c>
    </x:row>
    <x:row r="30" ht="62" customHeight="1">
      <x:c r="A30" s="43" t="str">
        <x:v>CAU-050</x:v>
      </x:c>
      <x:c r="B30" s="43" t="str">
        <x:v>Actual information properties excluded</x:v>
      </x:c>
      <x:c r="C30" s="43" t="str">
        <x:v>Boundary decision</x:v>
      </x:c>
      <x:c r="D30" s="43" t="str">
        <x:v>Cross-layer review</x:v>
      </x:c>
      <x:c r="E30" s="43" t="str"/>
      <x:c r="F30" s="43" t="str">
        <x:v>Accuracy, availability, repetition, source identity, framing features, and channel structure outside the person belong to Informational or Technological layers.</x:v>
      </x:c>
      <x:c r="G30" s="43" t="str">
        <x:v>Psychological includes the resulting perception, construal, accessibility, or trust judgment.</x:v>
      </x:c>
      <x:c r="H30" s="43" t="str">
        <x:v>Informational; Technological</x:v>
      </x:c>
    </x:row>
    <x:row r="31" ht="62" customHeight="1">
      <x:c r="A31" s="43" t="str">
        <x:v>CAU-051</x:v>
      </x:c>
      <x:c r="B31" s="43" t="str">
        <x:v>Actual institutional legitimacy excluded</x:v>
      </x:c>
      <x:c r="C31" s="43" t="str">
        <x:v>Boundary decision</x:v>
      </x:c>
      <x:c r="D31" s="43" t="str">
        <x:v>Cross-layer review</x:v>
      </x:c>
      <x:c r="E31" s="43" t="str">
        <x:v>PSY-023</x:v>
      </x:c>
      <x:c r="F31" s="43" t="str">
        <x:v>The Psychological driver is perceived rightfulness; formal legal authority and institutional design remain Institutional / Structural.</x:v>
      </x:c>
      <x:c r="G31" s="43" t="str">
        <x:v>Later harmonization should link rather than duplicate these variables.</x:v>
      </x:c>
      <x:c r="H31" s="43" t="str">
        <x:v>Institutional / Structural</x:v>
      </x:c>
    </x:row>
    <x:row r="32" ht="62" customHeight="1">
      <x:c r="A32" s="43" t="str">
        <x:v>CAU-052</x:v>
      </x:c>
      <x:c r="B32" s="43" t="str">
        <x:v>Objective status excluded</x:v>
      </x:c>
      <x:c r="C32" s="43" t="str">
        <x:v>Boundary decision</x:v>
      </x:c>
      <x:c r="D32" s="43" t="str">
        <x:v>Cross-layer review</x:v>
      </x:c>
      <x:c r="E32" s="43" t="str">
        <x:v>PSY-025</x:v>
      </x:c>
      <x:c r="F32" s="43" t="str">
        <x:v>Subjective standing is Psychological; rank, office, income, and network centrality are external Social or Institutional conditions.</x:v>
      </x:c>
      <x:c r="G32" s="43" t="str">
        <x:v>Use separate relationships between objective and perceived status.</x:v>
      </x:c>
      <x:c r="H32" s="43" t="str">
        <x:v>Social; Institutional / Structural</x:v>
      </x:c>
    </x:row>
    <x:row r="33" ht="62" customHeight="1">
      <x:c r="A33" s="43" t="str">
        <x:v>MIG-082</x:v>
      </x:c>
      <x:c r="B33" s="43" t="str">
        <x:v>Attitude toward the behavior</x:v>
      </x:c>
      <x:c r="C33" s="43" t="str">
        <x:v>Legacy migration decision</x:v>
      </x:c>
      <x:c r="D33" s="43" t="str">
        <x:v>Renamed / normalized</x:v>
      </x:c>
      <x:c r="E33" s="43" t="str">
        <x:v>PSY-001</x:v>
      </x:c>
      <x:c r="F33" s="43" t="str">
        <x:v>Recast as a bipolar variable rather than a favorable/unfavorable state label.</x:v>
      </x:c>
      <x:c r="G33" s="43" t="str">
        <x:v>Legacy record PSY-001; family PF01; evidence S01; S04; legacy cross-layer links Social; Cultural. Original definition: Overall favorable or unfavorable evaluation of performing a specific behavior.</x:v>
      </x:c>
      <x:c r="H33" s="43" t="str"/>
    </x:row>
    <x:row r="34" ht="62" customHeight="1">
      <x:c r="A34" s="43" t="str">
        <x:v>MIG-083</x:v>
      </x:c>
      <x:c r="B34" s="43" t="str">
        <x:v>Self-efficacy</x:v>
      </x:c>
      <x:c r="C34" s="43" t="str">
        <x:v>Legacy migration decision</x:v>
      </x:c>
      <x:c r="D34" s="43" t="str">
        <x:v>Retained</x:v>
      </x:c>
      <x:c r="E34" s="43" t="str">
        <x:v>PSY-011</x:v>
      </x:c>
      <x:c r="F34" s="43" t="str">
        <x:v>Retained as behavior- and context-specific perceived capability.</x:v>
      </x:c>
      <x:c r="G34" s="43" t="str">
        <x:v>Legacy record PSY-002; family PF01; evidence S05; S06; legacy cross-layer links Biological; Social. Original definition: Belief that one can successfully execute the behavior required in a particular situation.</x:v>
      </x:c>
      <x:c r="H34" s="43" t="str"/>
    </x:row>
    <x:row r="35" ht="62" customHeight="1">
      <x:c r="A35" s="43" t="str">
        <x:v>MIG-084</x:v>
      </x:c>
      <x:c r="B35" s="43" t="str">
        <x:v>Perceived behavioral control</x:v>
      </x:c>
      <x:c r="C35" s="43" t="str">
        <x:v>Legacy migration decision</x:v>
      </x:c>
      <x:c r="D35" s="43" t="str">
        <x:v>Retained</x:v>
      </x:c>
      <x:c r="E35" s="43" t="str">
        <x:v>PSY-012</x:v>
      </x:c>
      <x:c r="F35" s="43" t="str">
        <x:v>Retained and bounded from actual external control and self-efficacy.</x:v>
      </x:c>
      <x:c r="G35" s="43" t="str">
        <x:v>Legacy record PSY-003; family PF01; evidence S04; legacy cross-layer links Institutional/Structural; Physical/Environmental. Original definition: Perception of how easy or difficult performing a behavior will be and how much control one has over it.</x:v>
      </x:c>
      <x:c r="H35" s="43" t="str">
        <x:v>Institutional / Structural; Physical / Environmental boundary</x:v>
      </x:c>
    </x:row>
    <x:row r="36" ht="62" customHeight="1">
      <x:c r="A36" s="43" t="str">
        <x:v>MIG-085</x:v>
      </x:c>
      <x:c r="B36" s="43" t="str">
        <x:v>Outcome expectancy</x:v>
      </x:c>
      <x:c r="C36" s="43" t="str">
        <x:v>Legacy migration decision</x:v>
      </x:c>
      <x:c r="D36" s="43" t="str">
        <x:v>Retained</x:v>
      </x:c>
      <x:c r="E36" s="43" t="str">
        <x:v>PSY-004</x:v>
      </x:c>
      <x:c r="F36" s="43" t="str">
        <x:v>Retained as action–consequence likelihood, distinct from outcome value.</x:v>
      </x:c>
      <x:c r="G36" s="43" t="str">
        <x:v>Legacy record PSY-004; family PF01; evidence S05; S02; legacy cross-layer links Institutional/Structural; Social. Original definition: Belief that performing an action will produce particular consequences.</x:v>
      </x:c>
      <x:c r="H36" s="43" t="str"/>
    </x:row>
    <x:row r="37" ht="62" customHeight="1">
      <x:c r="A37" s="43" t="str">
        <x:v>MIG-086</x:v>
      </x:c>
      <x:c r="B37" s="43" t="str">
        <x:v>Causal beliefs / mental causal model</x:v>
      </x:c>
      <x:c r="C37" s="43" t="str">
        <x:v>Legacy migration decision</x:v>
      </x:c>
      <x:c r="D37" s="43" t="str">
        <x:v>Split</x:v>
      </x:c>
      <x:c r="E37" s="43" t="str">
        <x:v>PSY-063; PSY-064</x:v>
      </x:c>
      <x:c r="F37" s="43" t="str">
        <x:v>Compound legacy item separated into edge-level causal confidence and system-level model coherence.</x:v>
      </x:c>
      <x:c r="G37" s="43" t="str">
        <x:v>Legacy record PSY-005; family PF01; evidence S03; S16; legacy cross-layer links Informational; Cultural. Original definition: Beliefs about what causes what within a situation or system.</x:v>
      </x:c>
      <x:c r="H37" s="43" t="str"/>
    </x:row>
    <x:row r="38" ht="62" customHeight="1">
      <x:c r="A38" s="43" t="str">
        <x:v>MIG-087</x:v>
      </x:c>
      <x:c r="B38" s="43" t="str">
        <x:v>Perceived susceptibility / likelihood</x:v>
      </x:c>
      <x:c r="C38" s="43" t="str">
        <x:v>Legacy migration decision</x:v>
      </x:c>
      <x:c r="D38" s="43" t="str">
        <x:v>Renamed / normalized</x:v>
      </x:c>
      <x:c r="E38" s="43" t="str">
        <x:v>PSY-008</x:v>
      </x:c>
      <x:c r="F38" s="43" t="str">
        <x:v>Generalized from a threat-state label to the subjective probability variable.</x:v>
      </x:c>
      <x:c r="G38" s="43" t="str">
        <x:v>Legacy record PSY-006; family PF01; evidence S18; legacy cross-layer links Informational; Biological. Original definition: Subjective judgment of the probability that a threat or outcome will occur.</x:v>
      </x:c>
      <x:c r="H38" s="43" t="str"/>
    </x:row>
    <x:row r="39" ht="62" customHeight="1">
      <x:c r="A39" s="43" t="str">
        <x:v>MIG-088</x:v>
      </x:c>
      <x:c r="B39" s="43" t="str">
        <x:v>Perceived severity</x:v>
      </x:c>
      <x:c r="C39" s="43" t="str">
        <x:v>Legacy migration decision</x:v>
      </x:c>
      <x:c r="D39" s="43" t="str">
        <x:v>Renamed / normalized</x:v>
      </x:c>
      <x:c r="E39" s="43" t="str">
        <x:v>PSY-009</x:v>
      </x:c>
      <x:c r="F39" s="43" t="str">
        <x:v>Specified the threat outcome whose seriousness varies.</x:v>
      </x:c>
      <x:c r="G39" s="43" t="str">
        <x:v>Legacy record PSY-007; family PF01; evidence S18; legacy cross-layer links Informational; Biological. Original definition: Subjective judgment of how serious an adverse outcome would be.</x:v>
      </x:c>
      <x:c r="H39" s="43" t="str"/>
    </x:row>
    <x:row r="40" ht="62" customHeight="1">
      <x:c r="A40" s="43" t="str">
        <x:v>MIG-089</x:v>
      </x:c>
      <x:c r="B40" s="43" t="str">
        <x:v>Response efficacy</x:v>
      </x:c>
      <x:c r="C40" s="43" t="str">
        <x:v>Legacy migration decision</x:v>
      </x:c>
      <x:c r="D40" s="43" t="str">
        <x:v>Retained</x:v>
      </x:c>
      <x:c r="E40" s="43" t="str">
        <x:v>PSY-010</x:v>
      </x:c>
      <x:c r="F40" s="43" t="str">
        <x:v>Retained and distinguished from personal capability.</x:v>
      </x:c>
      <x:c r="G40" s="43" t="str">
        <x:v>Legacy record PSY-008; family PF01; evidence S18; legacy cross-layer links Informational. Original definition: Belief that a recommended action will actually reduce a threat or produce the intended effect.</x:v>
      </x:c>
      <x:c r="H40" s="43" t="str"/>
    </x:row>
    <x:row r="41" ht="62" customHeight="1">
      <x:c r="A41" s="43" t="str">
        <x:v>MIG-090</x:v>
      </x:c>
      <x:c r="B41" s="43" t="str">
        <x:v>Expectancy of success</x:v>
      </x:c>
      <x:c r="C41" s="43" t="str">
        <x:v>Legacy migration decision</x:v>
      </x:c>
      <x:c r="D41" s="43" t="str">
        <x:v>Renamed / normalized</x:v>
      </x:c>
      <x:c r="E41" s="43" t="str">
        <x:v>PSY-006</x:v>
      </x:c>
      <x:c r="F41" s="43" t="str">
        <x:v>Normalized to concise variable naming and retained separately from self-efficacy.</x:v>
      </x:c>
      <x:c r="G41" s="43" t="str">
        <x:v>Legacy record PSY-009; family PF01; evidence S02; S05; legacy cross-layer links Social; Institutional/Structural. Original definition: Expectation that effort or action will lead to successful performance or goal attainment.</x:v>
      </x:c>
      <x:c r="H41" s="43" t="str"/>
    </x:row>
    <x:row r="42" ht="62" customHeight="1">
      <x:c r="A42" s="43" t="str">
        <x:v>MIG-091</x:v>
      </x:c>
      <x:c r="B42" s="43" t="str">
        <x:v>Perceived relevance / personal significance</x:v>
      </x:c>
      <x:c r="C42" s="43" t="str">
        <x:v>Legacy migration decision</x:v>
      </x:c>
      <x:c r="D42" s="43" t="str">
        <x:v>Renamed / normalized</x:v>
      </x:c>
      <x:c r="E42" s="43" t="str">
        <x:v>PSY-007</x:v>
      </x:c>
      <x:c r="F42" s="43" t="str">
        <x:v>Normalized and defined by relevance to current goals, identity, needs, or situation.</x:v>
      </x:c>
      <x:c r="G42" s="43" t="str">
        <x:v>Legacy record PSY-010; family PF01; evidence S11; S19; legacy cross-layer links Informational; Cultural. Original definition: Judgment that an issue or outcome matters to one's goals, needs, values, or identity.</x:v>
      </x:c>
      <x:c r="H42" s="43" t="str"/>
    </x:row>
    <x:row r="43" ht="62" customHeight="1">
      <x:c r="A43" s="43" t="str">
        <x:v>MIG-092</x:v>
      </x:c>
      <x:c r="B43" s="43" t="str">
        <x:v>Behavioral intention</x:v>
      </x:c>
      <x:c r="C43" s="43" t="str">
        <x:v>Legacy migration decision</x:v>
      </x:c>
      <x:c r="D43" s="43" t="str">
        <x:v>Renamed / normalized</x:v>
      </x:c>
      <x:c r="E43" s="43" t="str">
        <x:v>PSY-026</x:v>
      </x:c>
      <x:c r="F43" s="43" t="str">
        <x:v>Renamed to represent the varying strength of a behavior-specific intention.</x:v>
      </x:c>
      <x:c r="G43" s="43" t="str">
        <x:v>Legacy record PSY-011; family PF02; evidence S04; S08; legacy cross-layer links Institutional/Structural; Social. Original definition: Conscious readiness or plan to perform a specified behavior.</x:v>
      </x:c>
      <x:c r="H43" s="43" t="str"/>
    </x:row>
    <x:row r="44" ht="62" customHeight="1">
      <x:c r="A44" s="43" t="str">
        <x:v>MIG-093</x:v>
      </x:c>
      <x:c r="B44" s="43" t="str">
        <x:v>Goal commitment</x:v>
      </x:c>
      <x:c r="C44" s="43" t="str">
        <x:v>Legacy migration decision</x:v>
      </x:c>
      <x:c r="D44" s="43" t="str">
        <x:v>Retained</x:v>
      </x:c>
      <x:c r="E44" s="43" t="str">
        <x:v>PSY-027</x:v>
      </x:c>
      <x:c r="F44" s="43" t="str">
        <x:v>Retained as degree of attachment to a specified goal.</x:v>
      </x:c>
      <x:c r="G44" s="43" t="str">
        <x:v>Legacy record PSY-012; family PF02; evidence S12; legacy cross-layer links Institutional/Structural. Original definition: Degree of attachment to and determination to attain a goal.</x:v>
      </x:c>
      <x:c r="H44" s="43" t="str"/>
    </x:row>
    <x:row r="45" ht="62" customHeight="1">
      <x:c r="A45" s="43" t="str">
        <x:v>MIG-094</x:v>
      </x:c>
      <x:c r="B45" s="43" t="str">
        <x:v>Goal specificity</x:v>
      </x:c>
      <x:c r="C45" s="43" t="str">
        <x:v>Legacy migration decision</x:v>
      </x:c>
      <x:c r="D45" s="43" t="str">
        <x:v>Retained</x:v>
      </x:c>
      <x:c r="E45" s="43" t="str">
        <x:v>PSY-028</x:v>
      </x:c>
      <x:c r="F45" s="43" t="str">
        <x:v>Retained as clarity and precision of a goal target.</x:v>
      </x:c>
      <x:c r="G45" s="43" t="str">
        <x:v>Legacy record PSY-013; family PF02; evidence S12; legacy cross-layer links Institutional/Structural. Original definition: Degree to which a desired outcome or performance target is concrete and clearly defined.</x:v>
      </x:c>
      <x:c r="H45" s="43" t="str"/>
    </x:row>
    <x:row r="46" ht="62" customHeight="1">
      <x:c r="A46" s="43" t="str">
        <x:v>MIG-095</x:v>
      </x:c>
      <x:c r="B46" s="43" t="str">
        <x:v>Goal difficulty / challenge</x:v>
      </x:c>
      <x:c r="C46" s="43" t="str">
        <x:v>Legacy migration decision</x:v>
      </x:c>
      <x:c r="D46" s="43" t="str">
        <x:v>Renamed / normalized</x:v>
      </x:c>
      <x:c r="E46" s="43" t="str">
        <x:v>PSY-029</x:v>
      </x:c>
      <x:c r="F46" s="43" t="str">
        <x:v>Normalized to the perceived challenge variable.</x:v>
      </x:c>
      <x:c r="G46" s="43" t="str">
        <x:v>Legacy record PSY-014; family PF02; evidence S12; legacy cross-layer links Institutional/Structural. Original definition: Level of challenge associated with a goal.</x:v>
      </x:c>
      <x:c r="H46" s="43" t="str"/>
    </x:row>
    <x:row r="47" ht="62" customHeight="1">
      <x:c r="A47" s="43" t="str">
        <x:v>MIG-096</x:v>
      </x:c>
      <x:c r="B47" s="43" t="str">
        <x:v>Goal conflict</x:v>
      </x:c>
      <x:c r="C47" s="43" t="str">
        <x:v>Legacy migration decision</x:v>
      </x:c>
      <x:c r="D47" s="43" t="str">
        <x:v>Retained</x:v>
      </x:c>
      <x:c r="E47" s="43" t="str">
        <x:v>PSY-030</x:v>
      </x:c>
      <x:c r="F47" s="43" t="str">
        <x:v>Retained as degree of interference among active goals.</x:v>
      </x:c>
      <x:c r="G47" s="43" t="str">
        <x:v>Legacy record PSY-015; family PF02; evidence S03; S16; legacy cross-layer links Institutional/Structural; Social. Original definition: Simultaneous activation of incompatible goals or desired outcomes.</x:v>
      </x:c>
      <x:c r="H47" s="43" t="str"/>
    </x:row>
    <x:row r="48" ht="62" customHeight="1">
      <x:c r="A48" s="43" t="str">
        <x:v>MIG-097</x:v>
      </x:c>
      <x:c r="B48" s="43" t="str">
        <x:v>Subjective outcome value</x:v>
      </x:c>
      <x:c r="C48" s="43" t="str">
        <x:v>Legacy migration decision</x:v>
      </x:c>
      <x:c r="D48" s="43" t="str">
        <x:v>Renamed / normalized</x:v>
      </x:c>
      <x:c r="E48" s="43" t="str">
        <x:v>PSY-005</x:v>
      </x:c>
      <x:c r="F48" s="43" t="str">
        <x:v>Normalized to a bipolar value variable distinct from outcome likelihood.</x:v>
      </x:c>
      <x:c r="G48" s="43" t="str">
        <x:v>Legacy record PSY-016; family PF02; evidence S02; S07; legacy cross-layer links Cultural; Institutional/Structural. Original definition: Personal importance, desirability, or utility assigned to an anticipated outcome.</x:v>
      </x:c>
      <x:c r="H48" s="43" t="str"/>
    </x:row>
    <x:row r="49" ht="62" customHeight="1">
      <x:c r="A49" s="43" t="str">
        <x:v>MIG-098</x:v>
      </x:c>
      <x:c r="B49" s="43" t="str">
        <x:v>Intrinsic motivation</x:v>
      </x:c>
      <x:c r="C49" s="43" t="str">
        <x:v>Legacy migration decision</x:v>
      </x:c>
      <x:c r="D49" s="43" t="str">
        <x:v>Retained</x:v>
      </x:c>
      <x:c r="E49" s="43" t="str">
        <x:v>PSY-032</x:v>
      </x:c>
      <x:c r="F49" s="43" t="str">
        <x:v>Retained as inherent interest or enjoyment motivation.</x:v>
      </x:c>
      <x:c r="G49" s="43" t="str">
        <x:v>Legacy record PSY-017; family PF02; evidence S02; legacy cross-layer links Social; Institutional/Structural. Original definition: Engagement because the activity itself is interesting, enjoyable, or inherently satisfying.</x:v>
      </x:c>
      <x:c r="H49" s="43" t="str"/>
    </x:row>
    <x:row r="50" ht="62" customHeight="1">
      <x:c r="A50" s="43" t="str">
        <x:v>MIG-099</x:v>
      </x:c>
      <x:c r="B50" s="43" t="str">
        <x:v>Autonomous / internalized motivation</x:v>
      </x:c>
      <x:c r="C50" s="43" t="str">
        <x:v>Legacy migration decision</x:v>
      </x:c>
      <x:c r="D50" s="43" t="str">
        <x:v>Renamed / normalized</x:v>
      </x:c>
      <x:c r="E50" s="43" t="str">
        <x:v>PSY-033</x:v>
      </x:c>
      <x:c r="F50" s="43" t="str">
        <x:v>Normalized while preserving self-endorsed and internalized regulation.</x:v>
      </x:c>
      <x:c r="G50" s="43" t="str">
        <x:v>Legacy record PSY-018; family PF02; evidence S02; legacy cross-layer links Social; Cultural. Original definition: Motivation experienced as personally endorsed or congruent with one's values and identity.</x:v>
      </x:c>
      <x:c r="H50" s="43" t="str"/>
    </x:row>
    <x:row r="51" ht="62" customHeight="1">
      <x:c r="A51" s="43" t="str">
        <x:v>MIG-100</x:v>
      </x:c>
      <x:c r="B51" s="43" t="str">
        <x:v>Extrinsic / controlled motivation</x:v>
      </x:c>
      <x:c r="C51" s="43" t="str">
        <x:v>Legacy migration decision</x:v>
      </x:c>
      <x:c r="D51" s="43" t="str">
        <x:v>Renamed / normalized</x:v>
      </x:c>
      <x:c r="E51" s="43" t="str">
        <x:v>PSY-034</x:v>
      </x:c>
      <x:c r="F51" s="43" t="str">
        <x:v>Removed the misleading implication that all extrinsic motivation is equivalently controlled.</x:v>
      </x:c>
      <x:c r="G51" s="43" t="str">
        <x:v>Legacy record PSY-019; family PF02; evidence S02; S03; legacy cross-layer links Institutional/Structural; Social. Original definition: Motivation driven by external rewards, sanctions, demands, or internal pressure.</x:v>
      </x:c>
      <x:c r="H51" s="43" t="str"/>
    </x:row>
    <x:row r="52" ht="62" customHeight="1">
      <x:c r="A52" s="43" t="str">
        <x:v>MIG-101</x:v>
      </x:c>
      <x:c r="B52" s="43" t="str">
        <x:v>Autonomy need satisfaction</x:v>
      </x:c>
      <x:c r="C52" s="43" t="str">
        <x:v>Legacy migration decision</x:v>
      </x:c>
      <x:c r="D52" s="43" t="str">
        <x:v>Retained</x:v>
      </x:c>
      <x:c r="E52" s="43" t="str">
        <x:v>PSY-035</x:v>
      </x:c>
      <x:c r="F52" s="43" t="str">
        <x:v>Retained as experienced volition and choice.</x:v>
      </x:c>
      <x:c r="G52" s="43" t="str">
        <x:v>Legacy record PSY-020; family PF02; evidence S02; legacy cross-layer links Social; Cultural. Original definition: Experience of volition and psychological ownership over one's actions.</x:v>
      </x:c>
      <x:c r="H52" s="43" t="str"/>
    </x:row>
    <x:row r="53" ht="62" customHeight="1">
      <x:c r="A53" s="43" t="str">
        <x:v>MIG-102</x:v>
      </x:c>
      <x:c r="B53" s="43" t="str">
        <x:v>Competence need satisfaction</x:v>
      </x:c>
      <x:c r="C53" s="43" t="str">
        <x:v>Legacy migration decision</x:v>
      </x:c>
      <x:c r="D53" s="43" t="str">
        <x:v>Retained</x:v>
      </x:c>
      <x:c r="E53" s="43" t="str">
        <x:v>PSY-036</x:v>
      </x:c>
      <x:c r="F53" s="43" t="str">
        <x:v>Retained as experienced effectiveness and mastery.</x:v>
      </x:c>
      <x:c r="G53" s="43" t="str">
        <x:v>Legacy record PSY-021; family PF02; evidence S02; legacy cross-layer links Social; Institutional/Structural. Original definition: Experience of effectiveness and mastery in interacting with tasks or environments.</x:v>
      </x:c>
      <x:c r="H53" s="43" t="str"/>
    </x:row>
    <x:row r="54" ht="62" customHeight="1">
      <x:c r="A54" s="43" t="str">
        <x:v>MIG-103</x:v>
      </x:c>
      <x:c r="B54" s="43" t="str">
        <x:v>Relatedness need satisfaction</x:v>
      </x:c>
      <x:c r="C54" s="43" t="str">
        <x:v>Legacy migration decision</x:v>
      </x:c>
      <x:c r="D54" s="43" t="str">
        <x:v>Retained</x:v>
      </x:c>
      <x:c r="E54" s="43" t="str">
        <x:v>PSY-037</x:v>
      </x:c>
      <x:c r="F54" s="43" t="str">
        <x:v>Retained as experienced connection and mutual care.</x:v>
      </x:c>
      <x:c r="G54" s="43" t="str">
        <x:v>Legacy record PSY-022; family PF02; evidence S02; legacy cross-layer links Social; Cultural. Original definition: Experience of belonging, connection, and mutual significance with others.</x:v>
      </x:c>
      <x:c r="H54" s="43" t="str"/>
    </x:row>
    <x:row r="55" ht="62" customHeight="1">
      <x:c r="A55" s="43" t="str">
        <x:v>MIG-104</x:v>
      </x:c>
      <x:c r="B55" s="43" t="str">
        <x:v>Fear</x:v>
      </x:c>
      <x:c r="C55" s="43" t="str">
        <x:v>Legacy migration decision</x:v>
      </x:c>
      <x:c r="D55" s="43" t="str">
        <x:v>Renamed / normalized</x:v>
      </x:c>
      <x:c r="E55" s="43" t="str">
        <x:v>PSY-041</x:v>
      </x:c>
      <x:c r="F55" s="43" t="str">
        <x:v>Renamed to represent the variable intensity rather than the emotion category alone.</x:v>
      </x:c>
      <x:c r="G55" s="43" t="str">
        <x:v>Legacy record PSY-023; family PF03; evidence S09; S18; legacy cross-layer links Biological; Informational. Original definition: Aversive emotion associated with perceived threat or danger.</x:v>
      </x:c>
      <x:c r="H55" s="43" t="str"/>
    </x:row>
    <x:row r="56" ht="62" customHeight="1">
      <x:c r="A56" s="43" t="str">
        <x:v>MIG-105</x:v>
      </x:c>
      <x:c r="B56" s="43" t="str">
        <x:v>Anxiety / anticipatory threat</x:v>
      </x:c>
      <x:c r="C56" s="43" t="str">
        <x:v>Legacy migration decision</x:v>
      </x:c>
      <x:c r="D56" s="43" t="str">
        <x:v>Renamed / normalized</x:v>
      </x:c>
      <x:c r="E56" s="43" t="str">
        <x:v>PSY-042</x:v>
      </x:c>
      <x:c r="F56" s="43" t="str">
        <x:v>Separated subjective anxiety intensity from the external threat and from trait neuroticism.</x:v>
      </x:c>
      <x:c r="G56" s="43" t="str">
        <x:v>Legacy record PSY-024; family PF03; evidence S09; S17; legacy cross-layer links Biological. Original definition: Future-oriented negative affect characterized by uncertainty and anticipation of possible threat.</x:v>
      </x:c>
      <x:c r="H56" s="43" t="str"/>
    </x:row>
    <x:row r="57" ht="62" customHeight="1">
      <x:c r="A57" s="43" t="str">
        <x:v>MIG-106</x:v>
      </x:c>
      <x:c r="B57" s="43" t="str">
        <x:v>Anger</x:v>
      </x:c>
      <x:c r="C57" s="43" t="str">
        <x:v>Legacy migration decision</x:v>
      </x:c>
      <x:c r="D57" s="43" t="str">
        <x:v>Renamed / normalized</x:v>
      </x:c>
      <x:c r="E57" s="43" t="str">
        <x:v>PSY-043</x:v>
      </x:c>
      <x:c r="F57" s="43" t="str">
        <x:v>Renamed to represent state intensity.</x:v>
      </x:c>
      <x:c r="G57" s="43" t="str">
        <x:v>Legacy record PSY-025; family PF03; evidence S09; legacy cross-layer links Social; Cultural. Original definition: Negative emotion commonly associated with obstruction, blame, offense, or injustice.</x:v>
      </x:c>
      <x:c r="H57" s="43" t="str"/>
    </x:row>
    <x:row r="58" ht="62" customHeight="1">
      <x:c r="A58" s="43" t="str">
        <x:v>MIG-107</x:v>
      </x:c>
      <x:c r="B58" s="43" t="str">
        <x:v>Disgust</x:v>
      </x:c>
      <x:c r="C58" s="43" t="str">
        <x:v>Legacy migration decision</x:v>
      </x:c>
      <x:c r="D58" s="43" t="str">
        <x:v>Renamed / normalized</x:v>
      </x:c>
      <x:c r="E58" s="43" t="str">
        <x:v>PSY-044</x:v>
      </x:c>
      <x:c r="F58" s="43" t="str">
        <x:v>Renamed to represent state intensity and retain domain-specific boundaries.</x:v>
      </x:c>
      <x:c r="G58" s="43" t="str">
        <x:v>Legacy record PSY-026; family PF03; evidence S09; legacy cross-layer links Biological; Cultural. Original definition: Emotion linked to rejection, contamination, moral aversion, or boundary violation.</x:v>
      </x:c>
      <x:c r="H58" s="43" t="str"/>
    </x:row>
    <x:row r="59" ht="62" customHeight="1">
      <x:c r="A59" s="43" t="str">
        <x:v>MIG-108</x:v>
      </x:c>
      <x:c r="B59" s="43" t="str">
        <x:v>Shame</x:v>
      </x:c>
      <x:c r="C59" s="43" t="str">
        <x:v>Legacy migration decision</x:v>
      </x:c>
      <x:c r="D59" s="43" t="str">
        <x:v>Renamed / normalized</x:v>
      </x:c>
      <x:c r="E59" s="43" t="str">
        <x:v>PSY-045</x:v>
      </x:c>
      <x:c r="F59" s="43" t="str">
        <x:v>Renamed to represent event-specific state intensity.</x:v>
      </x:c>
      <x:c r="G59" s="43" t="str">
        <x:v>Legacy record PSY-027; family PF03; evidence S09; legacy cross-layer links Social; Cultural. Original definition: Painful self-focused emotion involving a global negative evaluation of the self relative to standards or audiences.</x:v>
      </x:c>
      <x:c r="H59" s="43" t="str"/>
    </x:row>
    <x:row r="60" ht="62" customHeight="1">
      <x:c r="A60" s="43" t="str">
        <x:v>MIG-109</x:v>
      </x:c>
      <x:c r="B60" s="43" t="str">
        <x:v>Guilt</x:v>
      </x:c>
      <x:c r="C60" s="43" t="str">
        <x:v>Legacy migration decision</x:v>
      </x:c>
      <x:c r="D60" s="43" t="str">
        <x:v>Renamed / normalized</x:v>
      </x:c>
      <x:c r="E60" s="43" t="str">
        <x:v>PSY-046</x:v>
      </x:c>
      <x:c r="F60" s="43" t="str">
        <x:v>Renamed to represent event-specific state intensity.</x:v>
      </x:c>
      <x:c r="G60" s="43" t="str">
        <x:v>Legacy record PSY-028; family PF03; evidence S09; legacy cross-layer links Social; Cultural. Original definition: Negative emotion focused on a specific behavior or transgression rather than the whole self.</x:v>
      </x:c>
      <x:c r="H60" s="43" t="str"/>
    </x:row>
    <x:row r="61" ht="62" customHeight="1">
      <x:c r="A61" s="43" t="str">
        <x:v>MIG-110</x:v>
      </x:c>
      <x:c r="B61" s="43" t="str">
        <x:v>Hope</x:v>
      </x:c>
      <x:c r="C61" s="43" t="str">
        <x:v>Legacy migration decision</x:v>
      </x:c>
      <x:c r="D61" s="43" t="str">
        <x:v>Renamed / normalized</x:v>
      </x:c>
      <x:c r="E61" s="43" t="str">
        <x:v>PSY-048</x:v>
      </x:c>
      <x:c r="F61" s="43" t="str">
        <x:v>Retained as a state and distinguished from broader agency/pathways theory.</x:v>
      </x:c>
      <x:c r="G61" s="43" t="str">
        <x:v>Legacy record PSY-029; family PF03; evidence S09; S12; legacy cross-layer links Social. Original definition: Positive future-oriented state involving valued goals and perceived possibility of improvement.</x:v>
      </x:c>
      <x:c r="H61" s="43" t="str"/>
    </x:row>
    <x:row r="62" ht="62" customHeight="1">
      <x:c r="A62" s="43" t="str">
        <x:v>MIG-111</x:v>
      </x:c>
      <x:c r="B62" s="43" t="str">
        <x:v>Pride</x:v>
      </x:c>
      <x:c r="C62" s="43" t="str">
        <x:v>Legacy migration decision</x:v>
      </x:c>
      <x:c r="D62" s="43" t="str">
        <x:v>Renamed / normalized</x:v>
      </x:c>
      <x:c r="E62" s="43" t="str">
        <x:v>PSY-049</x:v>
      </x:c>
      <x:c r="F62" s="43" t="str">
        <x:v>Renamed to represent state intensity; authentic and hubristic forms remain operational dimensions.</x:v>
      </x:c>
      <x:c r="G62" s="43" t="str">
        <x:v>Legacy record PSY-030; family PF03; evidence S09; legacy cross-layer links Social; Cultural. Original definition: Positive self-conscious emotion arising from perceived valued achievement or identity-consistent success.</x:v>
      </x:c>
      <x:c r="H62" s="43" t="str"/>
    </x:row>
    <x:row r="63" ht="62" customHeight="1">
      <x:c r="A63" s="43" t="str">
        <x:v>MIG-112</x:v>
      </x:c>
      <x:c r="B63" s="43" t="str">
        <x:v>Mood valence</x:v>
      </x:c>
      <x:c r="C63" s="43" t="str">
        <x:v>Legacy migration decision</x:v>
      </x:c>
      <x:c r="D63" s="43" t="str">
        <x:v>Retained</x:v>
      </x:c>
      <x:c r="E63" s="43" t="str">
        <x:v>PSY-050</x:v>
      </x:c>
      <x:c r="F63" s="43" t="str">
        <x:v>Retained as diffuse positive–negative affective valence.</x:v>
      </x:c>
      <x:c r="G63" s="43" t="str">
        <x:v>Legacy record PSY-031; family PF03; evidence S09; legacy cross-layer links Biological; Physical/Environmental. Original definition: Diffuse positive or negative affective state not necessarily tied to one event.</x:v>
      </x:c>
      <x:c r="H63" s="43" t="str"/>
    </x:row>
    <x:row r="64" ht="62" customHeight="1">
      <x:c r="A64" s="43" t="str">
        <x:v>MIG-113</x:v>
      </x:c>
      <x:c r="B64" s="43" t="str">
        <x:v>Arousal</x:v>
      </x:c>
      <x:c r="C64" s="43" t="str">
        <x:v>Legacy migration decision</x:v>
      </x:c>
      <x:c r="D64" s="43" t="str">
        <x:v>Renamed / normalized</x:v>
      </x:c>
      <x:c r="E64" s="43" t="str">
        <x:v>PSY-051</x:v>
      </x:c>
      <x:c r="F64" s="43" t="str">
        <x:v>Specified consciously felt activation; physiological arousal remains Biological.</x:v>
      </x:c>
      <x:c r="G64" s="43" t="str">
        <x:v>Legacy record PSY-032; family PF03; evidence S09; legacy cross-layer links Biological. Original definition: Level of physiological and subjective activation accompanying affective states.</x:v>
      </x:c>
      <x:c r="H64" s="43" t="str">
        <x:v>Biological boundary</x:v>
      </x:c>
    </x:row>
    <x:row r="65" ht="62" customHeight="1">
      <x:c r="A65" s="43" t="str">
        <x:v>MIG-114</x:v>
      </x:c>
      <x:c r="B65" s="43" t="str">
        <x:v>Selective attention</x:v>
      </x:c>
      <x:c r="C65" s="43" t="str">
        <x:v>Legacy migration decision</x:v>
      </x:c>
      <x:c r="D65" s="43" t="str">
        <x:v>Renamed / normalized</x:v>
      </x:c>
      <x:c r="E65" s="43" t="str">
        <x:v>PSY-055</x:v>
      </x:c>
      <x:c r="F65" s="43" t="str">
        <x:v>Recast as the share of attention directed to a target.</x:v>
      </x:c>
      <x:c r="G65" s="43" t="str">
        <x:v>Legacy record PSY-033; family PF04; evidence S03; S11; legacy cross-layer links Informational; Technological. Original definition: Preferential allocation of attention to some stimuli, cues, or information over others.</x:v>
      </x:c>
      <x:c r="H65" s="43" t="str"/>
    </x:row>
    <x:row r="66" ht="62" customHeight="1">
      <x:c r="A66" s="43" t="str">
        <x:v>MIG-115</x:v>
      </x:c>
      <x:c r="B66" s="43" t="str">
        <x:v>Attentional salience</x:v>
      </x:c>
      <x:c r="C66" s="43" t="str">
        <x:v>Legacy migration decision</x:v>
      </x:c>
      <x:c r="D66" s="43" t="str">
        <x:v>Retained</x:v>
      </x:c>
      <x:c r="E66" s="43" t="str">
        <x:v>PSY-056</x:v>
      </x:c>
      <x:c r="F66" s="43" t="str">
        <x:v>Retained as psychological prominence, distinct from objective stimulus features.</x:v>
      </x:c>
      <x:c r="G66" s="43" t="str">
        <x:v>Legacy record PSY-034; family PF04; evidence S03; legacy cross-layer links Informational; Technological; Physical/Environmental. Original definition: Degree to which a stimulus stands out and captures or holds attention.</x:v>
      </x:c>
      <x:c r="H66" s="43" t="str">
        <x:v>Informational boundary</x:v>
      </x:c>
    </x:row>
    <x:row r="67" ht="62" customHeight="1">
      <x:c r="A67" s="43" t="str">
        <x:v>MIG-116</x:v>
      </x:c>
      <x:c r="B67" s="43" t="str">
        <x:v>Cognitive load</x:v>
      </x:c>
      <x:c r="C67" s="43" t="str">
        <x:v>Legacy migration decision</x:v>
      </x:c>
      <x:c r="D67" s="43" t="str">
        <x:v>Retained</x:v>
      </x:c>
      <x:c r="E67" s="43" t="str">
        <x:v>PSY-057</x:v>
      </x:c>
      <x:c r="F67" s="43" t="str">
        <x:v>Retained as occupied processing capacity under specified task demands.</x:v>
      </x:c>
      <x:c r="G67" s="43" t="str">
        <x:v>Legacy record PSY-035; family PF04; evidence S03; legacy cross-layer links Informational; Technological; Physical/Environmental. Original definition: Demand placed on limited working-memory and attentional resources.</x:v>
      </x:c>
      <x:c r="H67" s="43" t="str"/>
    </x:row>
    <x:row r="68" ht="62" customHeight="1">
      <x:c r="A68" s="43" t="str">
        <x:v>MIG-117</x:v>
      </x:c>
      <x:c r="B68" s="43" t="str">
        <x:v>Elaboration likelihood / depth of processing</x:v>
      </x:c>
      <x:c r="C68" s="43" t="str">
        <x:v>Legacy migration decision</x:v>
      </x:c>
      <x:c r="D68" s="43" t="str">
        <x:v>Renamed / normalized</x:v>
      </x:c>
      <x:c r="E68" s="43" t="str">
        <x:v>PSY-059</x:v>
      </x:c>
      <x:c r="F68" s="43" t="str">
        <x:v>Removed likelihood terminology and represented actual degree of issue-relevant processing.</x:v>
      </x:c>
      <x:c r="G68" s="43" t="str">
        <x:v>Legacy record PSY-036; family PF04; evidence S11; legacy cross-layer links Informational. Original definition: Degree of effortful thought devoted to evaluating information and implications.</x:v>
      </x:c>
      <x:c r="H68" s="43" t="str"/>
    </x:row>
    <x:row r="69" ht="62" customHeight="1">
      <x:c r="A69" s="43" t="str">
        <x:v>MIG-118</x:v>
      </x:c>
      <x:c r="B69" s="43" t="str">
        <x:v>Framing-dependent construal</x:v>
      </x:c>
      <x:c r="C69" s="43" t="str">
        <x:v>Legacy migration decision</x:v>
      </x:c>
      <x:c r="D69" s="43" t="str">
        <x:v>Renamed / normalized</x:v>
      </x:c>
      <x:c r="E69" s="43" t="str">
        <x:v>PSY-060</x:v>
      </x:c>
      <x:c r="F69" s="43" t="str">
        <x:v>Recast as the active categorical representation; external message framing remains Informational.</x:v>
      </x:c>
      <x:c r="G69" s="43" t="str">
        <x:v>Legacy record PSY-037; family PF04; evidence S07; legacy cross-layer links Informational. Original definition: Psychological representation produced by how outcomes, categories, or reference points are construed.</x:v>
      </x:c>
      <x:c r="H69" s="43" t="str">
        <x:v>Informational boundary</x:v>
      </x:c>
    </x:row>
    <x:row r="70" ht="62" customHeight="1">
      <x:c r="A70" s="43" t="str">
        <x:v>MIG-119</x:v>
      </x:c>
      <x:c r="B70" s="43" t="str">
        <x:v>Mental accessibility</x:v>
      </x:c>
      <x:c r="C70" s="43" t="str">
        <x:v>Legacy migration decision</x:v>
      </x:c>
      <x:c r="D70" s="43" t="str">
        <x:v>Merged</x:v>
      </x:c>
      <x:c r="E70" s="43" t="str">
        <x:v>PSY-066</x:v>
      </x:c>
      <x:c r="F70" s="43" t="str">
        <x:v>Merged with retrieval accessibility as cue-dependent readiness of represented content.</x:v>
      </x:c>
      <x:c r="G70" s="43" t="str">
        <x:v>Legacy record PSY-038; family PF04; evidence S14; S19; legacy cross-layer links Informational. Original definition: Ease with which a concept, belief, memory, or response comes to mind.</x:v>
      </x:c>
      <x:c r="H70" s="43" t="str"/>
    </x:row>
    <x:row r="71" ht="62" customHeight="1">
      <x:c r="A71" s="43" t="str">
        <x:v>MIG-120</x:v>
      </x:c>
      <x:c r="B71" s="43" t="str">
        <x:v>Need for cognition</x:v>
      </x:c>
      <x:c r="C71" s="43" t="str">
        <x:v>Legacy migration decision</x:v>
      </x:c>
      <x:c r="D71" s="43" t="str">
        <x:v>Retained</x:v>
      </x:c>
      <x:c r="E71" s="43" t="str">
        <x:v>PSY-129</x:v>
      </x:c>
      <x:c r="F71" s="43" t="str">
        <x:v>Retained as a relatively stable motivation for effortful thought and moved to dispositions.</x:v>
      </x:c>
      <x:c r="G71" s="43" t="str">
        <x:v>Legacy record PSY-039; family PF04; evidence S11; legacy cross-layer links Informational. Original definition: Tendency to engage in and enjoy effortful cognitive activity.</x:v>
      </x:c>
      <x:c r="H71" s="43" t="str"/>
    </x:row>
    <x:row r="72" ht="62" customHeight="1">
      <x:c r="A72" s="43" t="str">
        <x:v>MIG-121</x:v>
      </x:c>
      <x:c r="B72" s="43" t="str">
        <x:v>Mental model coherence</x:v>
      </x:c>
      <x:c r="C72" s="43" t="str">
        <x:v>Legacy migration decision</x:v>
      </x:c>
      <x:c r="D72" s="43" t="str">
        <x:v>Retained</x:v>
      </x:c>
      <x:c r="E72" s="43" t="str">
        <x:v>PSY-064</x:v>
      </x:c>
      <x:c r="F72" s="43" t="str">
        <x:v>Retained as internal consistency and connectedness of a situation representation.</x:v>
      </x:c>
      <x:c r="G72" s="43" t="str">
        <x:v>Legacy record PSY-040; family PF04; evidence S03; S16; legacy cross-layer links Informational; Cultural. Original definition: Degree to which a person has an organized representation explaining a situation and possible actions.</x:v>
      </x:c>
      <x:c r="H72" s="43" t="str"/>
    </x:row>
    <x:row r="73" ht="62" customHeight="1">
      <x:c r="A73" s="43" t="str">
        <x:v>MIG-122</x:v>
      </x:c>
      <x:c r="B73" s="43" t="str">
        <x:v>Habit strength</x:v>
      </x:c>
      <x:c r="C73" s="43" t="str">
        <x:v>Legacy migration decision</x:v>
      </x:c>
      <x:c r="D73" s="43" t="str">
        <x:v>Retained</x:v>
      </x:c>
      <x:c r="E73" s="43" t="str">
        <x:v>PSY-070</x:v>
      </x:c>
      <x:c r="F73" s="43" t="str">
        <x:v>Retained and bounded from repetition frequency and automaticity.</x:v>
      </x:c>
      <x:c r="G73" s="43" t="str">
        <x:v>Legacy record PSY-041; family PF05; evidence S10; legacy cross-layer links Physical/Environmental; Technological. Original definition: Strength of a learned context-response association developed through repetition.</x:v>
      </x:c>
      <x:c r="H73" s="43" t="str"/>
    </x:row>
    <x:row r="74" ht="62" customHeight="1">
      <x:c r="A74" s="43" t="str">
        <x:v>MIG-123</x:v>
      </x:c>
      <x:c r="B74" s="43" t="str">
        <x:v>Behavioral automaticity</x:v>
      </x:c>
      <x:c r="C74" s="43" t="str">
        <x:v>Legacy migration decision</x:v>
      </x:c>
      <x:c r="D74" s="43" t="str">
        <x:v>Retained</x:v>
      </x:c>
      <x:c r="E74" s="43" t="str">
        <x:v>PSY-071</x:v>
      </x:c>
      <x:c r="F74" s="43" t="str">
        <x:v>Retained as multidimensional reduced-deliberation performance.</x:v>
      </x:c>
      <x:c r="G74" s="43" t="str">
        <x:v>Legacy record PSY-042; family PF05; evidence S10; legacy cross-layer links Physical/Environmental. Original definition: Degree to which behavior is initiated or executed rapidly, efficiently, or with limited conscious deliberation.</x:v>
      </x:c>
      <x:c r="H74" s="43" t="str"/>
    </x:row>
    <x:row r="75" ht="62" customHeight="1">
      <x:c r="A75" s="43" t="str">
        <x:v>MIG-124</x:v>
      </x:c>
      <x:c r="B75" s="43" t="str">
        <x:v>Cue-response association</x:v>
      </x:c>
      <x:c r="C75" s="43" t="str">
        <x:v>Legacy migration decision</x:v>
      </x:c>
      <x:c r="D75" s="43" t="str">
        <x:v>Renamed / normalized</x:v>
      </x:c>
      <x:c r="E75" s="43" t="str">
        <x:v>PSY-072</x:v>
      </x:c>
      <x:c r="F75" s="43" t="str">
        <x:v>Renamed to represent the varying strength of a specified learned association.</x:v>
      </x:c>
      <x:c r="G75" s="43" t="str">
        <x:v>Legacy record PSY-043; family PF05; evidence S10; legacy cross-layer links Physical/Environmental; Technological. Original definition: Learned linkage between a recurring contextual cue and a behavioral response.</x:v>
      </x:c>
      <x:c r="H75" s="43" t="str"/>
    </x:row>
    <x:row r="76" ht="62" customHeight="1">
      <x:c r="A76" s="43" t="str">
        <x:v>MIG-125</x:v>
      </x:c>
      <x:c r="B76" s="43" t="str">
        <x:v>Reinforcement expectancy</x:v>
      </x:c>
      <x:c r="C76" s="43" t="str">
        <x:v>Legacy migration decision</x:v>
      </x:c>
      <x:c r="D76" s="43" t="str">
        <x:v>Retained</x:v>
      </x:c>
      <x:c r="E76" s="43" t="str">
        <x:v>PSY-073</x:v>
      </x:c>
      <x:c r="F76" s="43" t="str">
        <x:v>Retained as expected probability and value of reinforcement under a response contingency.</x:v>
      </x:c>
      <x:c r="G76" s="43" t="str">
        <x:v>Legacy record PSY-044; family PF05; evidence S03; S05; legacy cross-layer links Institutional/Structural; Social. Original definition: Learned expectation that behavior will be followed by rewarding or punishing consequences.</x:v>
      </x:c>
      <x:c r="H76" s="43" t="str"/>
    </x:row>
    <x:row r="77" ht="62" customHeight="1">
      <x:c r="A77" s="43" t="str">
        <x:v>MIG-126</x:v>
      </x:c>
      <x:c r="B77" s="43" t="str">
        <x:v>Retrieval accessibility</x:v>
      </x:c>
      <x:c r="C77" s="43" t="str">
        <x:v>Legacy migration decision</x:v>
      </x:c>
      <x:c r="D77" s="43" t="str">
        <x:v>Merged</x:v>
      </x:c>
      <x:c r="E77" s="43" t="str">
        <x:v>PSY-066</x:v>
      </x:c>
      <x:c r="F77" s="43" t="str">
        <x:v>Merged with mental accessibility to avoid duplicate drivers.</x:v>
      </x:c>
      <x:c r="G77" s="43" t="str">
        <x:v>Legacy record PSY-045; family PF05; evidence S03; legacy cross-layer links Informational. Original definition: Ease with which relevant past experiences or information can be retrieved at a decision point.</x:v>
      </x:c>
      <x:c r="H77" s="43" t="str"/>
    </x:row>
    <x:row r="78" ht="62" customHeight="1">
      <x:c r="A78" s="43" t="str">
        <x:v>MIG-127</x:v>
      </x:c>
      <x:c r="B78" s="43" t="str">
        <x:v>Familiarity</x:v>
      </x:c>
      <x:c r="C78" s="43" t="str">
        <x:v>Legacy migration decision</x:v>
      </x:c>
      <x:c r="D78" s="43" t="str">
        <x:v>Retained</x:v>
      </x:c>
      <x:c r="E78" s="43" t="str">
        <x:v>PSY-067</x:v>
      </x:c>
      <x:c r="F78" s="43" t="str">
        <x:v>Retained and separated from recollection, accessibility, confidence, and accuracy.</x:v>
      </x:c>
      <x:c r="G78" s="43" t="str">
        <x:v>Legacy record PSY-046; family PF05; evidence S19; legacy cross-layer links Informational. Original definition: Subjective sense that a stimulus, claim, person, or option has been encountered before.</x:v>
      </x:c>
      <x:c r="H78" s="43" t="str"/>
    </x:row>
    <x:row r="79" ht="62" customHeight="1">
      <x:c r="A79" s="43" t="str">
        <x:v>MIG-128</x:v>
      </x:c>
      <x:c r="B79" s="43" t="str">
        <x:v>Observationally learned expectancy</x:v>
      </x:c>
      <x:c r="C79" s="43" t="str">
        <x:v>Legacy migration decision</x:v>
      </x:c>
      <x:c r="D79" s="43" t="str">
        <x:v>Retained</x:v>
      </x:c>
      <x:c r="E79" s="43" t="str">
        <x:v>PSY-074</x:v>
      </x:c>
      <x:c r="F79" s="43" t="str">
        <x:v>Retained as the resulting expectancy while modeling remains the learning route.</x:v>
      </x:c>
      <x:c r="G79" s="43" t="str">
        <x:v>Legacy record PSY-047; family PF05; evidence S05; legacy cross-layer links Social; Cultural. Original definition: Expectation acquired by observing others' actions and consequences.</x:v>
      </x:c>
      <x:c r="H79" s="43" t="str"/>
    </x:row>
    <x:row r="80" ht="62" customHeight="1">
      <x:c r="A80" s="43" t="str">
        <x:v>MIG-129</x:v>
      </x:c>
      <x:c r="B80" s="43" t="str">
        <x:v>Implementation intention</x:v>
      </x:c>
      <x:c r="C80" s="43" t="str">
        <x:v>Legacy migration decision</x:v>
      </x:c>
      <x:c r="D80" s="43" t="str">
        <x:v>Renamed / normalized</x:v>
      </x:c>
      <x:c r="E80" s="43" t="str">
        <x:v>PSY-075</x:v>
      </x:c>
      <x:c r="F80" s="43" t="str">
        <x:v>Renamed to represent the strength and accessibility of the if–then commitment.</x:v>
      </x:c>
      <x:c r="G80" s="43" t="str">
        <x:v>Legacy record PSY-048; family PF06; evidence S08; S14; legacy cross-layer links Physical/Environmental. Original definition: Specific if-then plan linking a future situational cue to a planned response.</x:v>
      </x:c>
      <x:c r="H80" s="43" t="str"/>
    </x:row>
    <x:row r="81" ht="62" customHeight="1">
      <x:c r="A81" s="43" t="str">
        <x:v>MIG-130</x:v>
      </x:c>
      <x:c r="B81" s="43" t="str">
        <x:v>Action planning</x:v>
      </x:c>
      <x:c r="C81" s="43" t="str">
        <x:v>Legacy migration decision</x:v>
      </x:c>
      <x:c r="D81" s="43" t="str">
        <x:v>Renamed / normalized</x:v>
      </x:c>
      <x:c r="E81" s="43" t="str">
        <x:v>PSY-076</x:v>
      </x:c>
      <x:c r="F81" s="43" t="str">
        <x:v>Recast as plan completeness and specificity rather than the planning behavior.</x:v>
      </x:c>
      <x:c r="G81" s="43" t="str">
        <x:v>Legacy record PSY-049; family PF06; evidence S03; S08; legacy cross-layer links Institutional/Structural. Original definition: Specification of when, where, and how a behavior will be performed.</x:v>
      </x:c>
      <x:c r="H81" s="43" t="str"/>
    </x:row>
    <x:row r="82" ht="62" customHeight="1">
      <x:c r="A82" s="43" t="str">
        <x:v>MIG-131</x:v>
      </x:c>
      <x:c r="B82" s="43" t="str">
        <x:v>Behavioral self-monitoring</x:v>
      </x:c>
      <x:c r="C82" s="43" t="str">
        <x:v>Legacy migration decision</x:v>
      </x:c>
      <x:c r="D82" s="43" t="str">
        <x:v>Renamed / normalized</x:v>
      </x:c>
      <x:c r="E82" s="43" t="str">
        <x:v>PSY-077</x:v>
      </x:c>
      <x:c r="F82" s="43" t="str">
        <x:v>Recast as monitoring frequency and attentional intensity.</x:v>
      </x:c>
      <x:c r="G82" s="43" t="str">
        <x:v>Legacy record PSY-050; family PF06; evidence S03; legacy cross-layer links Technological. Original definition: Active observation or recording of one's own behavior or progress.</x:v>
      </x:c>
      <x:c r="H82" s="43" t="str"/>
    </x:row>
    <x:row r="83" ht="62" customHeight="1">
      <x:c r="A83" s="43" t="str">
        <x:v>MIG-132</x:v>
      </x:c>
      <x:c r="B83" s="43" t="str">
        <x:v>Inhibitory control</x:v>
      </x:c>
      <x:c r="C83" s="43" t="str">
        <x:v>Legacy migration decision</x:v>
      </x:c>
      <x:c r="D83" s="43" t="str">
        <x:v>Renamed / normalized</x:v>
      </x:c>
      <x:c r="E83" s="43" t="str">
        <x:v>PSY-081</x:v>
      </x:c>
      <x:c r="F83" s="43" t="str">
        <x:v>Specified current capacity to suppress a dominant or initiated response.</x:v>
      </x:c>
      <x:c r="G83" s="43" t="str">
        <x:v>Legacy record PSY-051; family PF06; evidence S03; legacy cross-layer links Biological. Original definition: Capacity to suppress a dominant, impulsive, or prepotent response when it conflicts with a goal.</x:v>
      </x:c>
      <x:c r="H83" s="43" t="str"/>
    </x:row>
    <x:row r="84" ht="62" customHeight="1">
      <x:c r="A84" s="43" t="str">
        <x:v>MIG-133</x:v>
      </x:c>
      <x:c r="B84" s="43" t="str">
        <x:v>Attentional control</x:v>
      </x:c>
      <x:c r="C84" s="43" t="str">
        <x:v>Legacy migration decision</x:v>
      </x:c>
      <x:c r="D84" s="43" t="str">
        <x:v>Renamed / normalized</x:v>
      </x:c>
      <x:c r="E84" s="43" t="str">
        <x:v>PSY-080</x:v>
      </x:c>
      <x:c r="F84" s="43" t="str">
        <x:v>Specified current capacity to direct or shift attention according to goals.</x:v>
      </x:c>
      <x:c r="G84" s="43" t="str">
        <x:v>Legacy record PSY-052; family PF06; evidence S03; legacy cross-layer links Biological; Technological. Original definition: Ability to deliberately maintain, shift, or disengage attention in service of goals.</x:v>
      </x:c>
      <x:c r="H84" s="43" t="str"/>
    </x:row>
    <x:row r="85" ht="62" customHeight="1">
      <x:c r="A85" s="43" t="str">
        <x:v>MIG-134</x:v>
      </x:c>
      <x:c r="B85" s="43" t="str">
        <x:v>Perceived progress / goal discrepancy</x:v>
      </x:c>
      <x:c r="C85" s="43" t="str">
        <x:v>Legacy migration decision</x:v>
      </x:c>
      <x:c r="D85" s="43" t="str">
        <x:v>Renamed / normalized</x:v>
      </x:c>
      <x:c r="E85" s="43" t="str">
        <x:v>PSY-078</x:v>
      </x:c>
      <x:c r="F85" s="43" t="str">
        <x:v>Represented the signed target–current gap; perceived progress is an indicator of change in that gap.</x:v>
      </x:c>
      <x:c r="G85" s="43" t="str">
        <x:v>Legacy record PSY-053; family PF06; evidence S12; S03; legacy cross-layer links Institutional/Structural. Original definition: Comparison between current state and desired goal state.</x:v>
      </x:c>
      <x:c r="H85" s="43" t="str"/>
    </x:row>
    <x:row r="86" ht="62" customHeight="1">
      <x:c r="A86" s="43" t="str">
        <x:v>MIG-135</x:v>
      </x:c>
      <x:c r="B86" s="43" t="str">
        <x:v>Emotion regulation</x:v>
      </x:c>
      <x:c r="C86" s="43" t="str">
        <x:v>Legacy migration decision</x:v>
      </x:c>
      <x:c r="D86" s="43" t="str">
        <x:v>Renamed / normalized</x:v>
      </x:c>
      <x:c r="E86" s="43" t="str">
        <x:v>PSY-079</x:v>
      </x:c>
      <x:c r="F86" s="43" t="str">
        <x:v>Recast from a process label to available regulatory capacity; specific strategies remain operationalizations.</x:v>
      </x:c>
      <x:c r="G86" s="43" t="str">
        <x:v>Legacy record PSY-054; family PF06; evidence S15; S09; legacy cross-layer links Biological; Social. Original definition: Processes used to influence which emotions occur, their intensity, duration, or expression.</x:v>
      </x:c>
      <x:c r="H86" s="43" t="str"/>
    </x:row>
    <x:row r="87" ht="62" customHeight="1">
      <x:c r="A87" s="43" t="str">
        <x:v>MIG-136</x:v>
      </x:c>
      <x:c r="B87" s="43" t="str">
        <x:v>Coping efficacy</x:v>
      </x:c>
      <x:c r="C87" s="43" t="str">
        <x:v>Legacy migration decision</x:v>
      </x:c>
      <x:c r="D87" s="43" t="str">
        <x:v>Renamed / normalized</x:v>
      </x:c>
      <x:c r="E87" s="43" t="str">
        <x:v>PSY-014</x:v>
      </x:c>
      <x:c r="F87" s="43" t="str">
        <x:v>Specified confidence in one's coping capability and distinguished it from response efficacy.</x:v>
      </x:c>
      <x:c r="G87" s="43" t="str">
        <x:v>Legacy record PSY-055; family PF06; evidence S18; S05; legacy cross-layer links Biological. Original definition: Belief that one can effectively manage demands, stressors, or threats.</x:v>
      </x:c>
      <x:c r="H87" s="43" t="str"/>
    </x:row>
    <x:row r="88" ht="62" customHeight="1">
      <x:c r="A88" s="43" t="str">
        <x:v>MIG-137</x:v>
      </x:c>
      <x:c r="B88" s="43" t="str">
        <x:v>Loss aversion</x:v>
      </x:c>
      <x:c r="C88" s="43" t="str">
        <x:v>Legacy migration decision</x:v>
      </x:c>
      <x:c r="D88" s="43" t="str">
        <x:v>Retained</x:v>
      </x:c>
      <x:c r="E88" s="43" t="str">
        <x:v>PSY-084</x:v>
      </x:c>
      <x:c r="F88" s="43" t="str">
        <x:v>Retained as a context- and task-dependent valuation parameter.</x:v>
      </x:c>
      <x:c r="G88" s="43" t="str">
        <x:v>Legacy record PSY-056; family PF07; evidence S07; legacy cross-layer links Informational; Institutional/Structural. Original definition: Tendency for losses relative to a reference point to carry greater subjective weight than comparable gains.</x:v>
      </x:c>
      <x:c r="H88" s="43" t="str"/>
    </x:row>
    <x:row r="89" ht="62" customHeight="1">
      <x:c r="A89" s="43" t="str">
        <x:v>MIG-138</x:v>
      </x:c>
      <x:c r="B89" s="43" t="str">
        <x:v>Reference point</x:v>
      </x:c>
      <x:c r="C89" s="43" t="str">
        <x:v>Legacy migration decision</x:v>
      </x:c>
      <x:c r="D89" s="43" t="str">
        <x:v>Retained</x:v>
      </x:c>
      <x:c r="E89" s="43" t="str">
        <x:v>PSY-085</x:v>
      </x:c>
      <x:c r="F89" s="43" t="str">
        <x:v>Retained as the comparison baseline defining gains and losses.</x:v>
      </x:c>
      <x:c r="G89" s="43" t="str">
        <x:v>Legacy record PSY-057; family PF07; evidence S07; legacy cross-layer links Social; Informational. Original definition: Psychological baseline against which gains and losses are evaluated.</x:v>
      </x:c>
      <x:c r="H89" s="43" t="str"/>
    </x:row>
    <x:row r="90" ht="62" customHeight="1">
      <x:c r="A90" s="43" t="str">
        <x:v>MIG-139</x:v>
      </x:c>
      <x:c r="B90" s="43" t="str">
        <x:v>Risk tolerance / risk aversion</x:v>
      </x:c>
      <x:c r="C90" s="43" t="str">
        <x:v>Legacy migration decision</x:v>
      </x:c>
      <x:c r="D90" s="43" t="str">
        <x:v>Renamed / normalized</x:v>
      </x:c>
      <x:c r="E90" s="43" t="str">
        <x:v>PSY-086</x:v>
      </x:c>
      <x:c r="F90" s="43" t="str">
        <x:v>Normalized as a bipolar domain-specific preference variable.</x:v>
      </x:c>
      <x:c r="G90" s="43" t="str">
        <x:v>Legacy record PSY-058; family PF07; evidence S07; S18; legacy cross-layer links Biological; Cultural. Original definition: Relative preference for uncertain versus more certain outcomes.</x:v>
      </x:c>
      <x:c r="H90" s="43" t="str"/>
    </x:row>
    <x:row r="91" ht="62" customHeight="1">
      <x:c r="A91" s="43" t="str">
        <x:v>MIG-140</x:v>
      </x:c>
      <x:c r="B91" s="43" t="str">
        <x:v>Subjective probability weighting</x:v>
      </x:c>
      <x:c r="C91" s="43" t="str">
        <x:v>Legacy migration decision</x:v>
      </x:c>
      <x:c r="D91" s="43" t="str">
        <x:v>Renamed / normalized</x:v>
      </x:c>
      <x:c r="E91" s="43" t="str">
        <x:v>PSY-087</x:v>
      </x:c>
      <x:c r="F91" s="43" t="str">
        <x:v>Normalized while retaining model-dependent weighting functions.</x:v>
      </x:c>
      <x:c r="G91" s="43" t="str">
        <x:v>Legacy record PSY-059; family PF07; evidence S07; legacy cross-layer links Informational. Original definition: Nonlinear psychological weighting of probabilities.</x:v>
      </x:c>
      <x:c r="H91" s="43" t="str"/>
    </x:row>
    <x:row r="92" ht="62" customHeight="1">
      <x:c r="A92" s="43" t="str">
        <x:v>MIG-141</x:v>
      </x:c>
      <x:c r="B92" s="43" t="str">
        <x:v>Ambiguity aversion</x:v>
      </x:c>
      <x:c r="C92" s="43" t="str">
        <x:v>Legacy migration decision</x:v>
      </x:c>
      <x:c r="D92" s="43" t="str">
        <x:v>Retained</x:v>
      </x:c>
      <x:c r="E92" s="43" t="str">
        <x:v>PSY-088</x:v>
      </x:c>
      <x:c r="F92" s="43" t="str">
        <x:v>Retained as a context-specific preference against unknown probabilities.</x:v>
      </x:c>
      <x:c r="G92" s="43" t="str">
        <x:v>Legacy record PSY-060; family PF07; evidence S17; S07; legacy cross-layer links Informational. Original definition: Preference for options with known probabilities over options whose probabilities are unclear.</x:v>
      </x:c>
      <x:c r="H92" s="43" t="str"/>
    </x:row>
    <x:row r="93" ht="62" customHeight="1">
      <x:c r="A93" s="43" t="str">
        <x:v>MIG-142</x:v>
      </x:c>
      <x:c r="B93" s="43" t="str">
        <x:v>Delay discounting</x:v>
      </x:c>
      <x:c r="C93" s="43" t="str">
        <x:v>Legacy migration decision</x:v>
      </x:c>
      <x:c r="D93" s="43" t="str">
        <x:v>Retained</x:v>
      </x:c>
      <x:c r="E93" s="43" t="str">
        <x:v>PSY-089</x:v>
      </x:c>
      <x:c r="F93" s="43" t="str">
        <x:v>Retained as the rate of delayed-outcome devaluation.</x:v>
      </x:c>
      <x:c r="G93" s="43" t="str">
        <x:v>Legacy record PSY-061; family PF07; evidence S20; legacy cross-layer links Institutional/Structural; Biological. Original definition: Reduction in subjective value of outcomes as their receipt is delayed.</x:v>
      </x:c>
      <x:c r="H93" s="43" t="str"/>
    </x:row>
    <x:row r="94" ht="62" customHeight="1">
      <x:c r="A94" s="43" t="str">
        <x:v>MIG-143</x:v>
      </x:c>
      <x:c r="B94" s="43" t="str">
        <x:v>Present bias</x:v>
      </x:c>
      <x:c r="C94" s="43" t="str">
        <x:v>Legacy migration decision</x:v>
      </x:c>
      <x:c r="D94" s="43" t="str">
        <x:v>Retained</x:v>
      </x:c>
      <x:c r="E94" s="43" t="str">
        <x:v>PSY-090</x:v>
      </x:c>
      <x:c r="F94" s="43" t="str">
        <x:v>Retained as extra weighting of immediate outcomes and distinguished from general discounting.</x:v>
      </x:c>
      <x:c r="G94" s="43" t="str">
        <x:v>Legacy record PSY-062; family PF07; evidence S20; legacy cross-layer links Institutional/Structural. Original definition: Disproportionate preference for immediate outcomes when one option is available now.</x:v>
      </x:c>
      <x:c r="H94" s="43" t="str"/>
    </x:row>
    <x:row r="95" ht="62" customHeight="1">
      <x:c r="A95" s="43" t="str">
        <x:v>MIG-144</x:v>
      </x:c>
      <x:c r="B95" s="43" t="str">
        <x:v>Decision conflict</x:v>
      </x:c>
      <x:c r="C95" s="43" t="str">
        <x:v>Legacy migration decision</x:v>
      </x:c>
      <x:c r="D95" s="43" t="str">
        <x:v>Retained</x:v>
      </x:c>
      <x:c r="E95" s="43" t="str">
        <x:v>PSY-092</x:v>
      </x:c>
      <x:c r="F95" s="43" t="str">
        <x:v>Retained as conflict among active choice options.</x:v>
      </x:c>
      <x:c r="G95" s="43" t="str">
        <x:v>Legacy record PSY-063; family PF07; evidence S03; legacy cross-layer links Informational; Physical/Environmental. Original definition: Psychological difficulty when alternatives have competing advantages, uncertain tradeoffs, or similar value.</x:v>
      </x:c>
      <x:c r="H95" s="43" t="str"/>
    </x:row>
    <x:row r="96" ht="62" customHeight="1">
      <x:c r="A96" s="43" t="str">
        <x:v>MIG-145</x:v>
      </x:c>
      <x:c r="B96" s="43" t="str">
        <x:v>Behavioral self-identity</x:v>
      </x:c>
      <x:c r="C96" s="43" t="str">
        <x:v>Legacy migration decision</x:v>
      </x:c>
      <x:c r="D96" s="43" t="str">
        <x:v>Retained</x:v>
      </x:c>
      <x:c r="E96" s="43" t="str">
        <x:v>PSY-094</x:v>
      </x:c>
      <x:c r="F96" s="43" t="str">
        <x:v>Retained as behavior-specific incorporation into self-concept.</x:v>
      </x:c>
      <x:c r="G96" s="43" t="str">
        <x:v>Legacy record PSY-064; family PF08; evidence S03; legacy cross-layer links Social; Cultural. Original definition: Extent to which performing a behavior is incorporated into one's self-concept.</x:v>
      </x:c>
      <x:c r="H96" s="43" t="str"/>
    </x:row>
    <x:row r="97" ht="62" customHeight="1">
      <x:c r="A97" s="43" t="str">
        <x:v>MIG-146</x:v>
      </x:c>
      <x:c r="B97" s="43" t="str">
        <x:v>Cognitive dissonance</x:v>
      </x:c>
      <x:c r="C97" s="43" t="str">
        <x:v>Legacy migration decision</x:v>
      </x:c>
      <x:c r="D97" s="43" t="str">
        <x:v>Renamed / normalized</x:v>
      </x:c>
      <x:c r="E97" s="43" t="str">
        <x:v>PSY-102</x:v>
      </x:c>
      <x:c r="F97" s="43" t="str">
        <x:v>Recast from theory/mechanism label to the varying aversive inconsistency state.</x:v>
      </x:c>
      <x:c r="G97" s="43" t="str">
        <x:v>Legacy record PSY-065; family PF08; evidence S21; legacy cross-layer links Social; Cultural. Original definition: Aversive state associated with perceived inconsistency among cognitions, commitments, or behavior.</x:v>
      </x:c>
      <x:c r="H97" s="43" t="str"/>
    </x:row>
    <x:row r="98" ht="62" customHeight="1">
      <x:c r="A98" s="43" t="str">
        <x:v>MIG-147</x:v>
      </x:c>
      <x:c r="B98" s="43" t="str">
        <x:v>Psychological reactance</x:v>
      </x:c>
      <x:c r="C98" s="43" t="str">
        <x:v>Legacy migration decision</x:v>
      </x:c>
      <x:c r="D98" s="43" t="str">
        <x:v>Renamed / normalized</x:v>
      </x:c>
      <x:c r="E98" s="43" t="str">
        <x:v>PSY-109</x:v>
      </x:c>
      <x:c r="F98" s="43" t="str">
        <x:v>Specified the state intensity and separated it from perceived freedom threat and trait proneness.</x:v>
      </x:c>
      <x:c r="G98" s="43" t="str">
        <x:v>Legacy record PSY-066; family PF08; evidence S22; legacy cross-layer links Social; Institutional/Structural; Informational. Original definition: Motivational state arising when a valued freedom is perceived as threatened or removed.</x:v>
      </x:c>
      <x:c r="H98" s="43" t="str"/>
    </x:row>
    <x:row r="99" ht="62" customHeight="1">
      <x:c r="A99" s="43" t="str">
        <x:v>MIG-148</x:v>
      </x:c>
      <x:c r="B99" s="43" t="str">
        <x:v>Self-integrity threat</x:v>
      </x:c>
      <x:c r="C99" s="43" t="str">
        <x:v>Legacy migration decision</x:v>
      </x:c>
      <x:c r="D99" s="43" t="str">
        <x:v>Retained</x:v>
      </x:c>
      <x:c r="E99" s="43" t="str">
        <x:v>PSY-100</x:v>
      </x:c>
      <x:c r="F99" s="43" t="str">
        <x:v>Retained as event-specific threat to global adequacy or moral coherence.</x:v>
      </x:c>
      <x:c r="G99" s="43" t="str">
        <x:v>Legacy record PSY-067; family PF08; evidence S23; legacy cross-layer links Social; Cultural. Original definition: Perceived threat to one's sense of being adequate, moral, competent, or coherent.</x:v>
      </x:c>
      <x:c r="H99" s="43" t="str"/>
    </x:row>
    <x:row r="100" ht="62" customHeight="1">
      <x:c r="A100" s="43" t="str">
        <x:v>MIG-149</x:v>
      </x:c>
      <x:c r="B100" s="43" t="str">
        <x:v>Identity salience</x:v>
      </x:c>
      <x:c r="C100" s="43" t="str">
        <x:v>Legacy migration decision</x:v>
      </x:c>
      <x:c r="D100" s="43" t="str">
        <x:v>Retained</x:v>
      </x:c>
      <x:c r="E100" s="43" t="str">
        <x:v>PSY-095</x:v>
      </x:c>
      <x:c r="F100" s="43" t="str">
        <x:v>Retained as current accessibility of a specified identity.</x:v>
      </x:c>
      <x:c r="G100" s="43" t="str">
        <x:v>Legacy record PSY-068; family PF08; evidence S03; legacy cross-layer links Social; Cultural. Original definition: Momentary accessibility or prominence of a particular self-definition.</x:v>
      </x:c>
      <x:c r="H100" s="43" t="str"/>
    </x:row>
    <x:row r="101" ht="62" customHeight="1">
      <x:c r="A101" s="43" t="str">
        <x:v>MIG-150</x:v>
      </x:c>
      <x:c r="B101" s="43" t="str">
        <x:v>Moral identity centrality</x:v>
      </x:c>
      <x:c r="C101" s="43" t="str">
        <x:v>Legacy migration decision</x:v>
      </x:c>
      <x:c r="D101" s="43" t="str">
        <x:v>Retained</x:v>
      </x:c>
      <x:c r="E101" s="43" t="str">
        <x:v>PSY-103</x:v>
      </x:c>
      <x:c r="F101" s="43" t="str">
        <x:v>Retained as centrality of moral self-definition, not proof of moral behavior.</x:v>
      </x:c>
      <x:c r="G101" s="43" t="str">
        <x:v>Legacy record PSY-069; family PF08; evidence S24; legacy cross-layer links Cultural; Social. Original definition: Degree to which moral traits and standards are central to self-concept.</x:v>
      </x:c>
      <x:c r="H101" s="43" t="str"/>
    </x:row>
    <x:row r="102" ht="62" customHeight="1">
      <x:c r="A102" s="43" t="str">
        <x:v>MIG-151</x:v>
      </x:c>
      <x:c r="B102" s="43" t="str">
        <x:v>Need for cognitive closure</x:v>
      </x:c>
      <x:c r="C102" s="43" t="str">
        <x:v>Legacy migration decision</x:v>
      </x:c>
      <x:c r="D102" s="43" t="str">
        <x:v>Renamed / normalized</x:v>
      </x:c>
      <x:c r="E102" s="43" t="str">
        <x:v>PSY-130</x:v>
      </x:c>
      <x:c r="F102" s="43" t="str">
        <x:v>Normalized and placed with relatively stable epistemic dispositions.</x:v>
      </x:c>
      <x:c r="G102" s="43" t="str">
        <x:v>Legacy record PSY-070; family PF09; evidence S13; legacy cross-layer links Informational; Physical/Environmental. Original definition: Desire for definite answers and aversion to ambiguity or unresolved uncertainty.</x:v>
      </x:c>
      <x:c r="H102" s="43" t="str"/>
    </x:row>
    <x:row r="103" ht="62" customHeight="1">
      <x:c r="A103" s="43" t="str">
        <x:v>MIG-152</x:v>
      </x:c>
      <x:c r="B103" s="43" t="str">
        <x:v>Intolerance of uncertainty</x:v>
      </x:c>
      <x:c r="C103" s="43" t="str">
        <x:v>Legacy migration decision</x:v>
      </x:c>
      <x:c r="D103" s="43" t="str">
        <x:v>Retained</x:v>
      </x:c>
      <x:c r="E103" s="43" t="str">
        <x:v>PSY-131</x:v>
      </x:c>
      <x:c r="F103" s="43" t="str">
        <x:v>Retained as a distinguishable dispositional response to uncertainty.</x:v>
      </x:c>
      <x:c r="G103" s="43" t="str">
        <x:v>Legacy record PSY-071; family PF09; evidence S17; legacy cross-layer links Informational; Biological. Original definition: Tendency to experience uncertain situations as aversive or threatening and seek avoidance or resolution.</x:v>
      </x:c>
      <x:c r="H103" s="43" t="str"/>
    </x:row>
    <x:row r="104" ht="62" customHeight="1">
      <x:c r="A104" s="43" t="str">
        <x:v>MIG-153</x:v>
      </x:c>
      <x:c r="B104" s="43" t="str">
        <x:v>Threat sensitivity</x:v>
      </x:c>
      <x:c r="C104" s="43" t="str">
        <x:v>Legacy migration decision</x:v>
      </x:c>
      <x:c r="D104" s="43" t="str">
        <x:v>Renamed / normalized</x:v>
      </x:c>
      <x:c r="E104" s="43" t="str">
        <x:v>PSY-128</x:v>
      </x:c>
      <x:c r="F104" s="43" t="str">
        <x:v>Recast as a validated broad sensitivity to punishment, conflict, novelty, or possible threat.</x:v>
      </x:c>
      <x:c r="G104" s="43" t="str">
        <x:v>Legacy record PSY-072; family PF09; evidence S09; S17; legacy cross-layer links Biological. Original definition: Propensity to detect, weight, or react strongly to cues interpreted as threatening.</x:v>
      </x:c>
      <x:c r="H104" s="43" t="str"/>
    </x:row>
    <x:row r="105" ht="62" customHeight="1">
      <x:c r="A105" s="43" t="str">
        <x:v>MIG-154</x:v>
      </x:c>
      <x:c r="B105" s="43" t="str">
        <x:v>Need for predictability</x:v>
      </x:c>
      <x:c r="C105" s="43" t="str">
        <x:v>Legacy migration decision</x:v>
      </x:c>
      <x:c r="D105" s="43" t="str">
        <x:v>Merged</x:v>
      </x:c>
      <x:c r="E105" s="43" t="str">
        <x:v>PSY-130; PSY-131</x:v>
      </x:c>
      <x:c r="F105" s="43" t="str">
        <x:v>Legacy label overlapped closure and uncertainty intolerance and lacked a sufficiently distinct operational boundary.</x:v>
      </x:c>
      <x:c r="G105" s="43" t="str">
        <x:v>Legacy record PSY-073; family PF09; evidence S13; S17; legacy cross-layer links Physical/Environmental; Informational. Original definition: Preference for stable, forecastable patterns and reduced surprise.</x:v>
      </x:c>
      <x:c r="H105" s="43" t="str"/>
    </x:row>
    <x:row r="106" ht="62" customHeight="1">
      <x:c r="A106" s="43" t="str">
        <x:v>MIG-155</x:v>
      </x:c>
      <x:c r="B106" s="43" t="str">
        <x:v>Perceived helplessness</x:v>
      </x:c>
      <x:c r="C106" s="43" t="str">
        <x:v>Legacy migration decision</x:v>
      </x:c>
      <x:c r="D106" s="43" t="str">
        <x:v>Retained</x:v>
      </x:c>
      <x:c r="E106" s="43" t="str">
        <x:v>PSY-015</x:v>
      </x:c>
      <x:c r="F106" s="43" t="str">
        <x:v>Retained as a context-specific expectation that action lacks meaningful effect.</x:v>
      </x:c>
      <x:c r="G106" s="43" t="str">
        <x:v>Legacy record PSY-074; family PF09; evidence S05; S03; legacy cross-layer links Institutional/Structural; Physical/Environmental. Original definition: Expectation that one's actions have little or no effect on important outcomes.</x:v>
      </x:c>
      <x:c r="H106" s="43" t="str"/>
    </x:row>
    <x:row r="107" ht="62" customHeight="1">
      <x:c r="A107" s="43" t="str">
        <x:v>MIG-156</x:v>
      </x:c>
      <x:c r="B107" s="43" t="str">
        <x:v>Argument-quality sensitivity</x:v>
      </x:c>
      <x:c r="C107" s="43" t="str">
        <x:v>Legacy migration decision</x:v>
      </x:c>
      <x:c r="D107" s="43" t="str">
        <x:v>Renamed / normalized</x:v>
      </x:c>
      <x:c r="E107" s="43" t="str">
        <x:v>PSY-114</x:v>
      </x:c>
      <x:c r="F107" s="43" t="str">
        <x:v>Canonicalized the varying judgment of argument strength; sensitivity remains a moderator rather than a standalone driver.</x:v>
      </x:c>
      <x:c r="G107" s="43" t="str">
        <x:v>Legacy record PSY-075; family PF10; evidence S11; legacy cross-layer links Informational. Original definition: Degree to which judgments respond to the substantive strength of reasons or evidence.</x:v>
      </x:c>
      <x:c r="H107" s="43" t="str"/>
    </x:row>
    <x:row r="108" ht="62" customHeight="1">
      <x:c r="A108" s="43" t="str">
        <x:v>MIG-157</x:v>
      </x:c>
      <x:c r="B108" s="43" t="str">
        <x:v>Counterarguing tendency</x:v>
      </x:c>
      <x:c r="C108" s="43" t="str">
        <x:v>Legacy migration decision</x:v>
      </x:c>
      <x:c r="D108" s="43" t="str">
        <x:v>Renamed / normalized</x:v>
      </x:c>
      <x:c r="E108" s="43" t="str">
        <x:v>PSY-115</x:v>
      </x:c>
      <x:c r="F108" s="43" t="str">
        <x:v>Recast as a state amount/strength of refutational thought; stable tendencies remain moderators.</x:v>
      </x:c>
      <x:c r="G108" s="43" t="str">
        <x:v>Legacy record PSY-076; family PF10; evidence S11; S22; legacy cross-layer links Informational; Social. Original definition: Generation of reasons that challenge, rebut, or discount a persuasive message.</x:v>
      </x:c>
      <x:c r="H108" s="43" t="str"/>
    </x:row>
    <x:row r="109" ht="62" customHeight="1">
      <x:c r="A109" s="43" t="str">
        <x:v>MIG-158</x:v>
      </x:c>
      <x:c r="B109" s="43" t="str">
        <x:v>Confidence in one's thoughts / judgments</x:v>
      </x:c>
      <x:c r="C109" s="43" t="str">
        <x:v>Legacy migration decision</x:v>
      </x:c>
      <x:c r="D109" s="43" t="str">
        <x:v>Renamed / normalized</x:v>
      </x:c>
      <x:c r="E109" s="43" t="str">
        <x:v>PSY-116</x:v>
      </x:c>
      <x:c r="F109" s="43" t="str">
        <x:v>Specified confidence in a particular judgment and separated it from accuracy.</x:v>
      </x:c>
      <x:c r="G109" s="43" t="str">
        <x:v>Legacy record PSY-077; family PF10; evidence S11; legacy cross-layer links Informational; Social. Original definition: Subjective certainty assigned to one's own beliefs, interpretations, or evaluative thoughts.</x:v>
      </x:c>
      <x:c r="H109" s="43" t="str"/>
    </x:row>
    <x:row r="110" ht="62" customHeight="1">
      <x:c r="A110" s="43" t="str">
        <x:v>MIG-159</x:v>
      </x:c>
      <x:c r="B110" s="43" t="str">
        <x:v>Prior warning / resistance motivation</x:v>
      </x:c>
      <x:c r="C110" s="43" t="str">
        <x:v>Legacy migration decision</x:v>
      </x:c>
      <x:c r="D110" s="43" t="str">
        <x:v>Split</x:v>
      </x:c>
      <x:c r="E110" s="43" t="str">
        <x:v>PSY-117</x:v>
      </x:c>
      <x:c r="F110" s="43" t="str">
        <x:v>Retained resistance motivation as the driver; prior warning is an upstream informational condition.</x:v>
      </x:c>
      <x:c r="G110" s="43" t="str">
        <x:v>Legacy record PSY-078; family PF10; evidence S25; S11; legacy cross-layer links Informational. Original definition: Readiness to resist an anticipated influence attempt.</x:v>
      </x:c>
      <x:c r="H110" s="43" t="str">
        <x:v>Informational upstream component</x:v>
      </x:c>
    </x:row>
    <x:row r="111" ht="62" customHeight="1">
      <x:c r="A111" s="43" t="str">
        <x:v>MIG-160</x:v>
      </x:c>
      <x:c r="B111" s="43" t="str">
        <x:v>Perceived source credibility</x:v>
      </x:c>
      <x:c r="C111" s="43" t="str">
        <x:v>Legacy migration decision</x:v>
      </x:c>
      <x:c r="D111" s="43" t="str">
        <x:v>Retained</x:v>
      </x:c>
      <x:c r="E111" s="43" t="str">
        <x:v>PSY-113</x:v>
      </x:c>
      <x:c r="F111" s="43" t="str">
        <x:v>Retained as a perceiver-specific expertise/trustworthiness judgment.</x:v>
      </x:c>
      <x:c r="G111" s="43" t="str">
        <x:v>Legacy record PSY-079; family PF10; evidence S11; legacy cross-layer links Informational; Social. Original definition: Recipient's assessment that a source is competent, trustworthy, or worthy of belief.</x:v>
      </x:c>
      <x:c r="H111" s="43" t="str">
        <x:v>Informational and Social boundary</x:v>
      </x:c>
    </x:row>
    <x:row r="112" ht="62" customHeight="1">
      <x:c r="A112" s="43" t="str">
        <x:v>MIG-161</x:v>
      </x:c>
      <x:c r="B112" s="43" t="str">
        <x:v>Processing fluency</x:v>
      </x:c>
      <x:c r="C112" s="43" t="str">
        <x:v>Legacy migration decision</x:v>
      </x:c>
      <x:c r="D112" s="43" t="str">
        <x:v>Retained</x:v>
      </x:c>
      <x:c r="E112" s="43" t="str">
        <x:v>PSY-061</x:v>
      </x:c>
      <x:c r="F112" s="43" t="str">
        <x:v>Retained as experienced processing ease and bounded from objective readability or truth.</x:v>
      </x:c>
      <x:c r="G112" s="43" t="str">
        <x:v>Legacy record PSY-080; family PF10; evidence S19; legacy cross-layer links Informational; Technological. Original definition: Subjective ease with which information is perceived or cognitively processed.</x:v>
      </x:c>
      <x:c r="H112" s="43" t="str"/>
    </x:row>
  </x:sheetData>
  <x:mergeCells>
    <x:mergeCell ref="A1:H1"/>
    <x:mergeCell ref="A2:H2"/>
  </x:mergeCells>
  <x:dataValidations count="1">
    <x:dataValidation type="list" sqref="D5:D112">
      <x:formula1>"Retained,Renamed / normalized,Merged,Split,Excluded / reclassified,Deprecated,Provisional,Cross-layer review"</x:formula1>
    </x:dataValidation>
  </x:dataValidations>
  <x:pageMargins left="0.7" right="0.7" top="0.75" bottom="0.75" header="0.3" footer="0.3"/>
  <x:tableParts count="1">
    <x:tablePart xmlns:r="http://schemas.openxmlformats.org/officeDocument/2006/relationships" r:id="R8bf1feac0ce64b5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58" hidden="0" customWidth="1"/>
    <x:col min="4" max="4" width="60" hidden="0" customWidth="1"/>
    <x:col min="5" max="5" width="12" hidden="0" customWidth="1"/>
    <x:col min="6" max="6" width="60" hidden="0" customWidth="1"/>
  </x:cols>
  <x:sheetData>
    <x:row r="1" ht="34" customHeight="1">
      <x:c r="A1" s="3" t="str">
        <x:v>PSYWERX Driver Ontology Codebook v1.0</x:v>
      </x:c>
      <x:c r="B1" s="3"/>
      <x:c r="C1" s="3"/>
      <x:c r="D1" s="3"/>
      <x:c r="E1" s="3"/>
      <x:c r="F1" s="3"/>
    </x:row>
    <x:row r="2" ht="34" customHeight="1">
      <x:c r="A2" s="7" t="str">
        <x:v>Controlling field definitions and allowed values. Copy unchanged to all eight layer workbooks; layer-specific examples belong outside allowed-value definitions.</x:v>
      </x:c>
      <x:c r="B2" s="7"/>
      <x:c r="C2" s="7"/>
      <x:c r="D2" s="7"/>
      <x:c r="E2" s="7"/>
      <x:c r="F2" s="7"/>
    </x:row>
    <x:row r="3">
      <x:c r="A3" s="38"/>
      <x:c r="B3" s="38"/>
      <x:c r="C3" s="38"/>
      <x:c r="D3" s="38"/>
      <x:c r="E3" s="38"/>
      <x:c r="F3" s="38"/>
    </x:row>
    <x:row r="4" ht="30" customHeight="1">
      <x:c r="A4" s="14" t="str">
        <x:v>Sheet</x:v>
      </x:c>
      <x:c r="B4" s="31" t="str">
        <x:v>Field</x:v>
      </x:c>
      <x:c r="C4" s="31" t="str">
        <x:v>Definition</x:v>
      </x:c>
      <x:c r="D4" s="31" t="str">
        <x:v>Allowed Values / Format</x:v>
      </x:c>
      <x:c r="E4" s="31" t="str">
        <x:v>Required</x:v>
      </x:c>
      <x:c r="F4" s="15" t="str">
        <x:v>Rule / Guidance</x:v>
      </x:c>
    </x:row>
    <x:row r="5">
      <x:c r="A5" s="23" t="str">
        <x:v>Layer Summary</x:v>
      </x:c>
      <x:c r="B5" s="23" t="str">
        <x:v>Layer definition</x:v>
      </x:c>
      <x:c r="C5" s="23" t="str">
        <x:v>Definition of the layer’s variable domain.</x:v>
      </x:c>
      <x:c r="D5" s="23" t="str">
        <x:v>Free text</x:v>
      </x:c>
      <x:c r="E5" s="23" t="str">
        <x:v>Yes</x:v>
      </x:c>
      <x:c r="F5" s="23" t="str">
        <x:v>Describe the nature of included variables, not every upstream source.</x:v>
      </x:c>
    </x:row>
    <x:row r="6">
      <x:c r="A6" s="24" t="str">
        <x:v>Layer Summary</x:v>
      </x:c>
      <x:c r="B6" s="24" t="str">
        <x:v>Scope</x:v>
      </x:c>
      <x:c r="C6" s="24" t="str">
        <x:v>Inclusion scope for the layer.</x:v>
      </x:c>
      <x:c r="D6" s="24" t="str">
        <x:v>Free text</x:v>
      </x:c>
      <x:c r="E6" s="24" t="str">
        <x:v>Yes</x:v>
      </x:c>
      <x:c r="F6" s="24" t="str">
        <x:v>State principal included variable classes.</x:v>
      </x:c>
    </x:row>
    <x:row r="7">
      <x:c r="A7" s="24" t="str">
        <x:v>Layer Summary</x:v>
      </x:c>
      <x:c r="B7" s="24" t="str">
        <x:v>Boundary with other layers</x:v>
      </x:c>
      <x:c r="C7" s="24" t="str">
        <x:v>Primary exclusions and assignment boundaries.</x:v>
      </x:c>
      <x:c r="D7" s="24" t="str">
        <x:v>Free text</x:v>
      </x:c>
      <x:c r="E7" s="24" t="str">
        <x:v>Yes</x:v>
      </x:c>
      <x:c r="F7" s="24" t="str">
        <x:v>Use nature-of-variable assignment rule.</x:v>
      </x:c>
    </x:row>
    <x:row r="8">
      <x:c r="A8" s="24" t="str">
        <x:v>Layer Summary</x:v>
      </x:c>
      <x:c r="B8" s="24" t="str">
        <x:v>Ontology Standard Version</x:v>
      </x:c>
      <x:c r="C8" s="24" t="str">
        <x:v>Controlling ontology standard.</x:v>
      </x:c>
      <x:c r="D8" s="24" t="str">
        <x:v>PSYWERX Driver Ontology Standard v1.0</x:v>
      </x:c>
      <x:c r="E8" s="24" t="str">
        <x:v>Yes</x:v>
      </x:c>
      <x:c r="F8" s="24" t="str">
        <x:v>Change only through ontology-wide version control.</x:v>
      </x:c>
    </x:row>
    <x:row r="9">
      <x:c r="A9" s="24" t="str">
        <x:v>Layer Summary</x:v>
      </x:c>
      <x:c r="B9" s="24" t="str">
        <x:v>Layer Taxonomy Version</x:v>
      </x:c>
      <x:c r="C9" s="24" t="str">
        <x:v>Version of layer content.</x:v>
      </x:c>
      <x:c r="D9" s="24" t="str">
        <x:v>Layer name + semantic version</x:v>
      </x:c>
      <x:c r="E9" s="24" t="str">
        <x:v>Yes</x:v>
      </x:c>
      <x:c r="F9" s="24" t="str">
        <x:v>Content revisions need not change the ontology standard.</x:v>
      </x:c>
    </x:row>
    <x:row r="10">
      <x:c r="A10" s="24" t="str">
        <x:v>Layer Summary</x:v>
      </x:c>
      <x:c r="B10" s="24" t="str">
        <x:v>Creation Date / Last Review Date</x:v>
      </x:c>
      <x:c r="C10" s="24" t="str">
        <x:v>Version-control dates.</x:v>
      </x:c>
      <x:c r="D10" s="24" t="str">
        <x:v>ISO date</x:v>
      </x:c>
      <x:c r="E10" s="24" t="str">
        <x:v>Yes</x:v>
      </x:c>
      <x:c r="F10" s="24" t="str">
        <x:v>Use real date values.</x:v>
      </x:c>
    </x:row>
    <x:row r="11">
      <x:c r="A11" s="24" t="str">
        <x:v>Layer Summary</x:v>
      </x:c>
      <x:c r="B11" s="24" t="str">
        <x:v>Known gaps</x:v>
      </x:c>
      <x:c r="C11" s="24" t="str">
        <x:v>Unresolved content or evidence gaps.</x:v>
      </x:c>
      <x:c r="D11" s="24" t="str">
        <x:v>Free text</x:v>
      </x:c>
      <x:c r="E11" s="24" t="str">
        <x:v>Yes</x:v>
      </x:c>
      <x:c r="F11" s="24" t="str">
        <x:v>Do not hide uncertainty.</x:v>
      </x:c>
    </x:row>
    <x:row r="12">
      <x:c r="A12" s="24" t="str">
        <x:v>Drivers</x:v>
      </x:c>
      <x:c r="B12" s="24" t="str">
        <x:v>ID</x:v>
      </x:c>
      <x:c r="C12" s="24" t="str">
        <x:v>Permanent unique driver identifier.</x:v>
      </x:c>
      <x:c r="D12" s="24" t="str">
        <x:v>Layer prefix + three digits (e.g., BIO-001)</x:v>
      </x:c>
      <x:c r="E12" s="24" t="str">
        <x:v>Yes</x:v>
      </x:c>
      <x:c r="F12" s="24" t="str">
        <x:v>Never reuse; preserve through revisions.</x:v>
      </x:c>
    </x:row>
    <x:row r="13">
      <x:c r="A13" s="24" t="str">
        <x:v>Drivers</x:v>
      </x:c>
      <x:c r="B13" s="24" t="str">
        <x:v>Name</x:v>
      </x:c>
      <x:c r="C13" s="24" t="str">
        <x:v>Canonical variable name.</x:v>
      </x:c>
      <x:c r="D13" s="24" t="str">
        <x:v>Concise scientific noun phrase</x:v>
      </x:c>
      <x:c r="E13" s="24" t="str">
        <x:v>Yes</x:v>
      </x:c>
      <x:c r="F13" s="24" t="str">
        <x:v>Name the variable, not an adverse state.</x:v>
      </x:c>
    </x:row>
    <x:row r="14">
      <x:c r="A14" s="24" t="str">
        <x:v>Drivers</x:v>
      </x:c>
      <x:c r="B14" s="24" t="str">
        <x:v>Other Names / Aliases</x:v>
      </x:c>
      <x:c r="C14" s="24" t="str">
        <x:v>Alternative and legacy terms.</x:v>
      </x:c>
      <x:c r="D14" s="24" t="str">
        <x:v>Semicolon-separated text</x:v>
      </x:c>
      <x:c r="E14" s="24" t="str">
        <x:v>No</x:v>
      </x:c>
      <x:c r="F14" s="24" t="str">
        <x:v>Aliases aid retrieval and do not guarantee equivalence.</x:v>
      </x:c>
    </x:row>
    <x:row r="15">
      <x:c r="A15" s="24" t="str">
        <x:v>Drivers</x:v>
      </x:c>
      <x:c r="B15" s="24" t="str">
        <x:v>Layer</x:v>
      </x:c>
      <x:c r="C15" s="24" t="str">
        <x:v>Primary layer assignment.</x:v>
      </x:c>
      <x:c r="D15" s="24" t="str">
        <x:v>Biological; Psychological; Social; Cultural; Physical / Environmental; Institutional / Structural; Informational; Technological</x:v>
      </x:c>
      <x:c r="E15" s="24" t="str">
        <x:v>Yes</x:v>
      </x:c>
      <x:c r="F15" s="24" t="str">
        <x:v>Assign by nature of variable.</x:v>
      </x:c>
    </x:row>
    <x:row r="16">
      <x:c r="A16" s="24" t="str">
        <x:v>Drivers</x:v>
      </x:c>
      <x:c r="B16" s="24" t="str">
        <x:v>Family</x:v>
      </x:c>
      <x:c r="C16" s="24" t="str">
        <x:v>Canonical primary family.</x:v>
      </x:c>
      <x:c r="D16" s="24" t="str">
        <x:v>Valid Family Name in Families sheet</x:v>
      </x:c>
      <x:c r="E16" s="24" t="str">
        <x:v>Yes</x:v>
      </x:c>
      <x:c r="F16" s="24" t="str">
        <x:v>Exactly one primary family.</x:v>
      </x:c>
    </x:row>
    <x:row r="17">
      <x:c r="A17" s="24" t="str">
        <x:v>Drivers</x:v>
      </x:c>
      <x:c r="B17" s="24" t="str">
        <x:v>Definition</x:v>
      </x:c>
      <x:c r="C17" s="24" t="str">
        <x:v>Concise statement of what varies.</x:v>
      </x:c>
      <x:c r="D17" s="24" t="str">
        <x:v>Free text</x:v>
      </x:c>
      <x:c r="E17" s="24" t="str">
        <x:v>Yes</x:v>
      </x:c>
      <x:c r="F17" s="24" t="str">
        <x:v>Exclude effects from construct definition.</x:v>
      </x:c>
    </x:row>
    <x:row r="18">
      <x:c r="A18" s="24" t="str">
        <x:v>Drivers</x:v>
      </x:c>
      <x:c r="B18" s="24" t="str">
        <x:v>Data Type</x:v>
      </x:c>
      <x:c r="C18" s="24" t="str">
        <x:v>General variable type.</x:v>
      </x:c>
      <x:c r="D18" s="24" t="str">
        <x:v>Binary; Ordinal; Nominal categorical; Unipolar continuous; Bipolar continuous; Count; Frequency; Rate; Proportion; Duration; Magnitude / level; Time; Multidimensional; Other structured type</x:v>
      </x:c>
      <x:c r="E18" s="24" t="str">
        <x:v>Yes</x:v>
      </x:c>
      <x:c r="F18" s="24" t="str">
        <x:v>Choose scientifically faithful type; multiple operational representations may exist.</x:v>
      </x:c>
    </x:row>
    <x:row r="19">
      <x:c r="A19" s="24" t="str">
        <x:v>Drivers</x:v>
      </x:c>
      <x:c r="B19" s="24" t="str">
        <x:v>Representation / Scale</x:v>
      </x:c>
      <x:c r="C19" s="24" t="str">
        <x:v>Plausible encodings.</x:v>
      </x:c>
      <x:c r="D19" s="24" t="str">
        <x:v>Free text</x:v>
      </x:c>
      <x:c r="E19" s="24" t="str">
        <x:v>Yes</x:v>
      </x:c>
      <x:c r="F19" s="24" t="str">
        <x:v>Do not force every variable to continuous form.</x:v>
      </x:c>
    </x:row>
    <x:row r="20">
      <x:c r="A20" s="24" t="str">
        <x:v>Drivers</x:v>
      </x:c>
      <x:c r="B20" s="24" t="str">
        <x:v>Polarity / Direction of Interpretation</x:v>
      </x:c>
      <x:c r="C20" s="24" t="str">
        <x:v>Semantic meaning of movement or categories.</x:v>
      </x:c>
      <x:c r="D20" s="24" t="str">
        <x:v>Free text</x:v>
      </x:c>
      <x:c r="E20" s="24" t="str">
        <x:v>Yes</x:v>
      </x:c>
      <x:c r="F20" s="24" t="str">
        <x:v>Not a universal direction of behavioral effect.</x:v>
      </x:c>
    </x:row>
    <x:row r="21">
      <x:c r="A21" s="24" t="str">
        <x:v>Drivers</x:v>
      </x:c>
      <x:c r="B21" s="24" t="str">
        <x:v>Mechanism</x:v>
      </x:c>
      <x:c r="C21" s="24" t="str">
        <x:v>How a change may affect downstream variables.</x:v>
      </x:c>
      <x:c r="D21" s="24" t="str">
        <x:v>Free text</x:v>
      </x:c>
      <x:c r="E21" s="24" t="str">
        <x:v>Yes</x:v>
      </x:c>
      <x:c r="F21" s="24" t="str">
        <x:v>Explain process, not correlation alone.</x:v>
      </x:c>
    </x:row>
    <x:row r="22">
      <x:c r="A22" s="24" t="str">
        <x:v>Drivers</x:v>
      </x:c>
      <x:c r="B22" s="24" t="str">
        <x:v>Likely Upstream Influences</x:v>
      </x:c>
      <x:c r="C22" s="24" t="str">
        <x:v>Factors likely to change the driver.</x:v>
      </x:c>
      <x:c r="D22" s="24" t="str">
        <x:v>Semicolon-separated text</x:v>
      </x:c>
      <x:c r="E22" s="24" t="str">
        <x:v>No</x:v>
      </x:c>
      <x:c r="F22" s="24" t="str">
        <x:v>Use influences, not universal causes.</x:v>
      </x:c>
    </x:row>
    <x:row r="23">
      <x:c r="A23" s="24" t="str">
        <x:v>Drivers</x:v>
      </x:c>
      <x:c r="B23" s="24" t="str">
        <x:v>Likely Downstream Influences</x:v>
      </x:c>
      <x:c r="C23" s="24" t="str">
        <x:v>Factors the driver may change.</x:v>
      </x:c>
      <x:c r="D23" s="24" t="str">
        <x:v>Semicolon-separated text</x:v>
      </x:c>
      <x:c r="E23" s="24" t="str">
        <x:v>No</x:v>
      </x:c>
      <x:c r="F23" s="24" t="str">
        <x:v>Use structured Relationships for evidence-bearing edges.</x:v>
      </x:c>
    </x:row>
    <x:row r="24">
      <x:c r="A24" s="24" t="str">
        <x:v>Drivers</x:v>
      </x:c>
      <x:c r="B24" s="24" t="str">
        <x:v>Moderators / Boundary Conditions</x:v>
      </x:c>
      <x:c r="C24" s="24" t="str">
        <x:v>Conditions changing effect strength, direction, threshold, or persistence.</x:v>
      </x:c>
      <x:c r="D24" s="24" t="str">
        <x:v>Free text</x:v>
      </x:c>
      <x:c r="E24" s="24" t="str">
        <x:v>Yes</x:v>
      </x:c>
      <x:c r="F24" s="24" t="str">
        <x:v>Avoid universal claims.</x:v>
      </x:c>
    </x:row>
    <x:row r="25">
      <x:c r="A25" s="24" t="str">
        <x:v>Drivers</x:v>
      </x:c>
      <x:c r="B25" s="24" t="str">
        <x:v>Typical Interaction Candidates</x:v>
      </x:c>
      <x:c r="C25" s="24" t="str">
        <x:v>Plausible interacting drivers.</x:v>
      </x:c>
      <x:c r="D25" s="24" t="str">
        <x:v>Semicolon-separated text</x:v>
      </x:c>
      <x:c r="E25" s="24" t="str">
        <x:v>No</x:v>
      </x:c>
      <x:c r="F25" s="24" t="str">
        <x:v>Candidates are not established edges.</x:v>
      </x:c>
    </x:row>
    <x:row r="26">
      <x:c r="A26" s="24" t="str">
        <x:v>Drivers</x:v>
      </x:c>
      <x:c r="B26" s="24" t="str">
        <x:v>Modifiability / Malleability</x:v>
      </x:c>
      <x:c r="C26" s="24" t="str">
        <x:v>Practical changeability.</x:v>
      </x:c>
      <x:c r="D26" s="24" t="str">
        <x:v>Very Low; Low; Moderate; High; Very High</x:v>
      </x:c>
      <x:c r="E26" s="24" t="str">
        <x:v>Yes</x:v>
      </x:c>
      <x:c r="F26" s="24" t="str">
        <x:v>Distinguish theoretical from mission-context feasibility.</x:v>
      </x:c>
    </x:row>
    <x:row r="27">
      <x:c r="A27" s="24" t="str">
        <x:v>Drivers</x:v>
      </x:c>
      <x:c r="B27" s="24" t="str">
        <x:v>Volatility</x:v>
      </x:c>
      <x:c r="C27" s="24" t="str">
        <x:v>Natural fluctuation without deliberate intervention.</x:v>
      </x:c>
      <x:c r="D27" s="24" t="str">
        <x:v>Very Low; Low; Moderate; High; Very High</x:v>
      </x:c>
      <x:c r="E27" s="24" t="str">
        <x:v>Yes</x:v>
      </x:c>
      <x:c r="F27" s="24" t="str">
        <x:v>Do not collapse with malleability.</x:v>
      </x:c>
    </x:row>
    <x:row r="28">
      <x:c r="A28" s="24" t="str">
        <x:v>Drivers</x:v>
      </x:c>
      <x:c r="B28" s="24" t="str">
        <x:v>Time Scale of Change</x:v>
      </x:c>
      <x:c r="C28" s="24" t="str">
        <x:v>Typical time for meaningful movement.</x:v>
      </x:c>
      <x:c r="D28" s="24" t="str">
        <x:v>Seconds–Minutes; Minutes–Hours; Hours–Days; Days–Weeks; Weeks–Months; Months–Years; Years–Generations; Mixed / Context-dependent; semicolon-separated combinations</x:v>
      </x:c>
      <x:c r="E28" s="24" t="str">
        <x:v>Yes</x:v>
      </x:c>
      <x:c r="F28" s="24" t="str">
        <x:v>Multiple scales permitted.</x:v>
      </x:c>
    </x:row>
    <x:row r="29">
      <x:c r="A29" s="24" t="str">
        <x:v>Drivers</x:v>
      </x:c>
      <x:c r="B29" s="24" t="str">
        <x:v>Onset / Causal Lag</x:v>
      </x:c>
      <x:c r="C29" s="24" t="str">
        <x:v>Delay to downstream consequence.</x:v>
      </x:c>
      <x:c r="D29" s="24" t="str">
        <x:v>Same time categories as Time Scale of Change</x:v>
      </x:c>
      <x:c r="E29" s="24" t="str">
        <x:v>Yes</x:v>
      </x:c>
      <x:c r="F29" s="24" t="str">
        <x:v>Separate from driver change speed.</x:v>
      </x:c>
    </x:row>
    <x:row r="30">
      <x:c r="A30" s="24" t="str">
        <x:v>Drivers</x:v>
      </x:c>
      <x:c r="B30" s="24" t="str">
        <x:v>Persistence / Recovery</x:v>
      </x:c>
      <x:c r="C30" s="24" t="str">
        <x:v>Duration or reversibility after initiating condition changes.</x:v>
      </x:c>
      <x:c r="D30" s="24" t="str">
        <x:v>Free text</x:v>
      </x:c>
      <x:c r="E30" s="24" t="str">
        <x:v>Yes</x:v>
      </x:c>
      <x:c r="F30" s="24" t="str">
        <x:v>Describe state/effect persistence and recovery.</x:v>
      </x:c>
    </x:row>
    <x:row r="31">
      <x:c r="A31" s="24" t="str">
        <x:v>Drivers</x:v>
      </x:c>
      <x:c r="B31" s="24" t="str">
        <x:v>Indicators</x:v>
      </x:c>
      <x:c r="C31" s="24" t="str">
        <x:v>Observable signals of driver state.</x:v>
      </x:c>
      <x:c r="D31" s="24" t="str">
        <x:v>Semicolon-separated text</x:v>
      </x:c>
      <x:c r="E31" s="24" t="str">
        <x:v>No</x:v>
      </x:c>
      <x:c r="F31" s="24" t="str">
        <x:v>Indicator is not automatically the driver.</x:v>
      </x:c>
    </x:row>
    <x:row r="32">
      <x:c r="A32" s="24" t="str">
        <x:v>Drivers</x:v>
      </x:c>
      <x:c r="B32" s="24" t="str">
        <x:v>Measurement / Assessment Methods</x:v>
      </x:c>
      <x:c r="C32" s="24" t="str">
        <x:v>Ways to estimate or infer the driver.</x:v>
      </x:c>
      <x:c r="D32" s="24" t="str">
        <x:v>Free text or link to Operationalizations</x:v>
      </x:c>
      <x:c r="E32" s="24" t="str">
        <x:v>Yes</x:v>
      </x:c>
      <x:c r="F32" s="24" t="str">
        <x:v>Avoid collision with PSYWERX Method entity type.</x:v>
      </x:c>
    </x:row>
    <x:row r="33">
      <x:c r="A33" s="24" t="str">
        <x:v>Drivers</x:v>
      </x:c>
      <x:c r="B33" s="24" t="str">
        <x:v>Observability</x:v>
      </x:c>
      <x:c r="C33" s="24" t="str">
        <x:v>General directness of observation.</x:v>
      </x:c>
      <x:c r="D33" s="24" t="str">
        <x:v>High; Moderate; Low</x:v>
      </x:c>
      <x:c r="E33" s="24" t="str">
        <x:v>Yes</x:v>
      </x:c>
      <x:c r="F33" s="24" t="str">
        <x:v>Not equivalent to reliability.</x:v>
      </x:c>
    </x:row>
    <x:row r="34">
      <x:c r="A34" s="24" t="str">
        <x:v>Drivers</x:v>
      </x:c>
      <x:c r="B34" s="24" t="str">
        <x:v>Measurement Caveats</x:v>
      </x:c>
      <x:c r="C34" s="24" t="str">
        <x:v>Known assessment limitations.</x:v>
      </x:c>
      <x:c r="D34" s="24" t="str">
        <x:v>Free text</x:v>
      </x:c>
      <x:c r="E34" s="24" t="str">
        <x:v>Yes</x:v>
      </x:c>
      <x:c r="F34" s="24" t="str">
        <x:v>Address validity and context.</x:v>
      </x:c>
    </x:row>
    <x:row r="35">
      <x:c r="A35" s="24" t="str">
        <x:v>Drivers</x:v>
      </x:c>
      <x:c r="B35" s="24" t="str">
        <x:v>Evidence Strength</x:v>
      </x:c>
      <x:c r="C35" s="24" t="str">
        <x:v>Overall maturity of support.</x:v>
      </x:c>
      <x:c r="D35" s="24" t="str">
        <x:v>Strong; Moderate; Emerging; Mixed; Limited</x:v>
      </x:c>
      <x:c r="E35" s="24" t="str">
        <x:v>Yes</x:v>
      </x:c>
      <x:c r="F35" s="24" t="str">
        <x:v>Grade support, not popularity.</x:v>
      </x:c>
    </x:row>
    <x:row r="36">
      <x:c r="A36" s="24" t="str">
        <x:v>Drivers</x:v>
      </x:c>
      <x:c r="B36" s="24" t="str">
        <x:v>Evidence Notes</x:v>
      </x:c>
      <x:c r="C36" s="24" t="str">
        <x:v>Supported claims and uncertainties.</x:v>
      </x:c>
      <x:c r="D36" s="24" t="str">
        <x:v>Free text</x:v>
      </x:c>
      <x:c r="E36" s="24" t="str">
        <x:v>Yes</x:v>
      </x:c>
      <x:c r="F36" s="24" t="str">
        <x:v>Include transferability limits.</x:v>
      </x:c>
    </x:row>
    <x:row r="37">
      <x:c r="A37" s="24" t="str">
        <x:v>Drivers</x:v>
      </x:c>
      <x:c r="B37" s="24" t="str">
        <x:v>Common Misinterpretations</x:v>
      </x:c>
      <x:c r="C37" s="24" t="str">
        <x:v>Common misuse of construct.</x:v>
      </x:c>
      <x:c r="D37" s="24" t="str">
        <x:v>Free text</x:v>
      </x:c>
      <x:c r="E37" s="24" t="str">
        <x:v>Yes</x:v>
      </x:c>
      <x:c r="F37" s="24" t="str">
        <x:v>Record reductionist or deterministic errors.</x:v>
      </x:c>
    </x:row>
    <x:row r="38">
      <x:c r="A38" s="24" t="str">
        <x:v>Drivers</x:v>
      </x:c>
      <x:c r="B38" s="24" t="str">
        <x:v>Key Sources</x:v>
      </x:c>
      <x:c r="C38" s="24" t="str">
        <x:v>Representative Evidence IDs.</x:v>
      </x:c>
      <x:c r="D38" s="24" t="str">
        <x:v>Semicolon-separated Evidence IDs</x:v>
      </x:c>
      <x:c r="E38" s="24" t="str">
        <x:v>Yes</x:v>
      </x:c>
      <x:c r="F38" s="24" t="str">
        <x:v>Traceability, not exhaustive bibliography.</x:v>
      </x:c>
    </x:row>
    <x:row r="39">
      <x:c r="A39" s="24" t="str">
        <x:v>Families</x:v>
      </x:c>
      <x:c r="B39" s="24" t="str">
        <x:v>Family ID</x:v>
      </x:c>
      <x:c r="C39" s="24" t="str">
        <x:v>Permanent family identifier.</x:v>
      </x:c>
      <x:c r="D39" s="24" t="str">
        <x:v>Layer prefix + F + two digits</x:v>
      </x:c>
      <x:c r="E39" s="24" t="str">
        <x:v>Yes</x:v>
      </x:c>
      <x:c r="F39" s="24" t="str">
        <x:v>Stable within layer.</x:v>
      </x:c>
    </x:row>
    <x:row r="40">
      <x:c r="A40" s="24" t="str">
        <x:v>Families</x:v>
      </x:c>
      <x:c r="B40" s="24" t="str">
        <x:v>Family Name</x:v>
      </x:c>
      <x:c r="C40" s="24" t="str">
        <x:v>Canonical family noun phrase.</x:v>
      </x:c>
      <x:c r="D40" s="24" t="str">
        <x:v>Concise scientific noun phrase</x:v>
      </x:c>
      <x:c r="E40" s="24" t="str">
        <x:v>Yes</x:v>
      </x:c>
      <x:c r="F40" s="24" t="str">
        <x:v>Narrower than layer; normally multiple drivers.</x:v>
      </x:c>
    </x:row>
    <x:row r="41">
      <x:c r="A41" s="24" t="str">
        <x:v>Families</x:v>
      </x:c>
      <x:c r="B41" s="24" t="str">
        <x:v>Layer</x:v>
      </x:c>
      <x:c r="C41" s="24" t="str">
        <x:v>Primary layer.</x:v>
      </x:c>
      <x:c r="D41" s="24" t="str">
        <x:v>Eight allowed layer values</x:v>
      </x:c>
      <x:c r="E41" s="24" t="str">
        <x:v>Yes</x:v>
      </x:c>
      <x:c r="F41" s="24" t="str">
        <x:v>One layer per family.</x:v>
      </x:c>
    </x:row>
    <x:row r="42">
      <x:c r="A42" s="24" t="str">
        <x:v>Families</x:v>
      </x:c>
      <x:c r="B42" s="24" t="str">
        <x:v>Definition</x:v>
      </x:c>
      <x:c r="C42" s="24" t="str">
        <x:v>Class of variables grouped.</x:v>
      </x:c>
      <x:c r="D42" s="24" t="str">
        <x:v>Free text</x:v>
      </x:c>
      <x:c r="E42" s="24" t="str">
        <x:v>Yes</x:v>
      </x:c>
      <x:c r="F42" s="24" t="str">
        <x:v>Explain distinction from neighboring families.</x:v>
      </x:c>
    </x:row>
    <x:row r="43">
      <x:c r="A43" s="24" t="str">
        <x:v>Families</x:v>
      </x:c>
      <x:c r="B43" s="24" t="str">
        <x:v>Inclusion Rule</x:v>
      </x:c>
      <x:c r="C43" s="24" t="str">
        <x:v>What belongs.</x:v>
      </x:c>
      <x:c r="D43" s="24" t="str">
        <x:v>Free text</x:v>
      </x:c>
      <x:c r="E43" s="24" t="str">
        <x:v>Yes</x:v>
      </x:c>
      <x:c r="F43" s="24" t="str">
        <x:v>Use variable-class criteria.</x:v>
      </x:c>
    </x:row>
    <x:row r="44">
      <x:c r="A44" s="24" t="str">
        <x:v>Families</x:v>
      </x:c>
      <x:c r="B44" s="24" t="str">
        <x:v>Exclusion / Boundary Rule</x:v>
      </x:c>
      <x:c r="C44" s="24" t="str">
        <x:v>What does not belong.</x:v>
      </x:c>
      <x:c r="D44" s="24" t="str">
        <x:v>Free text</x:v>
      </x:c>
      <x:c r="E44" s="24" t="str">
        <x:v>Yes</x:v>
      </x:c>
      <x:c r="F44" s="24" t="str">
        <x:v>Name neighboring families/layers where useful.</x:v>
      </x:c>
    </x:row>
    <x:row r="45">
      <x:c r="A45" s="24" t="str">
        <x:v>Families</x:v>
      </x:c>
      <x:c r="B45" s="24" t="str">
        <x:v>Representative Drivers</x:v>
      </x:c>
      <x:c r="C45" s="24" t="str">
        <x:v>Illustrative members.</x:v>
      </x:c>
      <x:c r="D45" s="24" t="str">
        <x:v>Semicolon-separated canonical names</x:v>
      </x:c>
      <x:c r="E45" s="24" t="str">
        <x:v>No</x:v>
      </x:c>
      <x:c r="F45" s="24" t="str">
        <x:v>Not exhaustive or duplicative.</x:v>
      </x:c>
    </x:row>
    <x:row r="46">
      <x:c r="A46" s="24" t="str">
        <x:v>Evidence Library</x:v>
      </x:c>
      <x:c r="B46" s="24" t="str">
        <x:v>Evidence Strength</x:v>
      </x:c>
      <x:c r="C46" s="24" t="str">
        <x:v>Strength of a specific evidence record.</x:v>
      </x:c>
      <x:c r="D46" s="24" t="str">
        <x:v>Strong; Moderate; Emerging; Mixed; Limited</x:v>
      </x:c>
      <x:c r="E46" s="24" t="str">
        <x:v>Yes</x:v>
      </x:c>
      <x:c r="F46" s="24" t="str">
        <x:v>Record-level grading may differ from driver-level grade.</x:v>
      </x:c>
    </x:row>
    <x:row r="47">
      <x:c r="A47" s="24" t="str">
        <x:v>Relationships</x:v>
      </x:c>
      <x:c r="B47" s="24" t="str">
        <x:v>Expected Direction</x:v>
      </x:c>
      <x:c r="C47" s="24" t="str">
        <x:v>Direction/form of specific edge.</x:v>
      </x:c>
      <x:c r="D47" s="24" t="str">
        <x:v>Positive; Negative; Inverted-U; U-shaped; Threshold; Saturating; Contingent; Unknown; Bidirectional</x:v>
      </x:c>
      <x:c r="E47" s="24" t="str">
        <x:v>Yes</x:v>
      </x:c>
      <x:c r="F47" s="24" t="str">
        <x:v>Direction belongs to edge, not driver.</x:v>
      </x:c>
    </x:row>
    <x:row r="48">
      <x:c r="A48" s="24" t="str">
        <x:v>Relationships</x:v>
      </x:c>
      <x:c r="B48" s="24" t="str">
        <x:v>Evidence Strength</x:v>
      </x:c>
      <x:c r="C48" s="24" t="str">
        <x:v>Support for specific edge.</x:v>
      </x:c>
      <x:c r="D48" s="24" t="str">
        <x:v>Strong; Moderate; Emerging; Mixed; Limited</x:v>
      </x:c>
      <x:c r="E48" s="24" t="str">
        <x:v>Yes</x:v>
      </x:c>
      <x:c r="F48" s="24" t="str">
        <x:v>Do not infer from driver-level evidence alone.</x:v>
      </x:c>
    </x:row>
    <x:row r="49">
      <x:c r="A49" s="24" t="str">
        <x:v>Operationalizations</x:v>
      </x:c>
      <x:c r="B49" s="24" t="str">
        <x:v>Method Type</x:v>
      </x:c>
      <x:c r="C49" s="24" t="str">
        <x:v>Class of operationalization.</x:v>
      </x:c>
      <x:c r="D49" s="24" t="str">
        <x:v>Self-report / assessment; Physiological / sensor; Behavioral / clinical assessment; Administrative / archival; Expert elicitation; Other</x:v>
      </x:c>
      <x:c r="E49" s="24" t="str">
        <x:v>Yes</x:v>
      </x:c>
      <x:c r="F49" s="24" t="str">
        <x:v>One operationalization per row.</x:v>
      </x:c>
    </x:row>
    <x:row r="50">
      <x:c r="A50" s="25" t="str">
        <x:v>Cautions &amp; Exclusions</x:v>
      </x:c>
      <x:c r="B50" s="25" t="str">
        <x:v>Disposition</x:v>
      </x:c>
      <x:c r="C50" s="25" t="str">
        <x:v>Ontology decision.</x:v>
      </x:c>
      <x:c r="D50" s="25" t="str">
        <x:v>Retained; Renamed / normalized; Merged; Split; Excluded / reclassified; Deprecated; Provisional; Cross-layer review</x:v>
      </x:c>
      <x:c r="E50" s="25" t="str">
        <x:v>Yes</x:v>
      </x:c>
      <x:c r="F50" s="25" t="str">
        <x:v>Always record rationale and target when applicable.</x:v>
      </x:c>
    </x:row>
  </x:sheetData>
  <x:mergeCells>
    <x:mergeCell ref="A1:F1"/>
    <x:mergeCell ref="A2:F2"/>
  </x:mergeCells>
  <x:pageMargins left="0.7" right="0.7" top="0.75" bottom="0.75" header="0.3" footer="0.3"/>
  <x:tableParts count="1">
    <x:tablePart xmlns:r="http://schemas.openxmlformats.org/officeDocument/2006/relationships" r:id="Ree456e3ecfee447a"/>
  </x:tableParts>
</x:worksheet>
</file>