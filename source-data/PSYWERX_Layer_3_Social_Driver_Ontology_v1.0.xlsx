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b997d6229e48de" /></Relationships>
</file>

<file path=xl/workbook.xml><?xml version="1.0" encoding="utf-8"?>
<x:workbook xmlns:x="http://schemas.openxmlformats.org/spreadsheetml/2006/main">
  <x:sheets>
    <x:sheet xmlns:r="http://schemas.openxmlformats.org/officeDocument/2006/relationships" name="Layer Summary" sheetId="1" r:id="R5a625d02610a41e6"/>
    <x:sheet xmlns:r="http://schemas.openxmlformats.org/officeDocument/2006/relationships" name="Families" sheetId="2" r:id="R18b847b595274104"/>
    <x:sheet xmlns:r="http://schemas.openxmlformats.org/officeDocument/2006/relationships" name="Drivers" sheetId="3" r:id="R7a499f3e53be4b49"/>
    <x:sheet xmlns:r="http://schemas.openxmlformats.org/officeDocument/2006/relationships" name="Evidence Library" sheetId="4" r:id="R332e1c6e44054a6c"/>
    <x:sheet xmlns:r="http://schemas.openxmlformats.org/officeDocument/2006/relationships" name="Relationships" sheetId="5" r:id="R0f93be47387e4e6f"/>
    <x:sheet xmlns:r="http://schemas.openxmlformats.org/officeDocument/2006/relationships" name="Operationalizations" sheetId="6" r:id="R0c787c9769174b95"/>
    <x:sheet xmlns:r="http://schemas.openxmlformats.org/officeDocument/2006/relationships" name="Cautions &amp; Exclusions" sheetId="7" r:id="R75a1deb3e81d47d8"/>
    <x:sheet xmlns:r="http://schemas.openxmlformats.org/officeDocument/2006/relationships" name="Codebook" sheetId="8" r:id="R8b4d9520b659432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8"/>
      <x:color rgb="FFFFFFFF"/>
      <x:name val="Carlito"/>
    </x:font>
    <x:font>
      <x:i/>
      <x:sz val="10"/>
      <x:color rgb="FF18323F"/>
      <x:name val="Carlito"/>
    </x:font>
    <x:font>
      <x:b/>
      <x:sz val="10"/>
      <x:color rgb="FFFFFFFF"/>
      <x:name val="Carlito"/>
    </x:font>
    <x:font>
      <x:sz val="9"/>
      <x:color rgb="FF18323F"/>
      <x:name val="Carlito"/>
    </x:font>
    <x:font>
      <x:b/>
      <x:sz val="12"/>
      <x:color rgb="FFFFFFFF"/>
      <x:name val="Carlito"/>
    </x:font>
    <x:font>
      <x:b/>
      <x:sz val="10"/>
      <x:color rgb="FF18323F"/>
      <x:name val="Carlito"/>
    </x:font>
    <x:font>
      <x:b/>
      <x:sz val="9"/>
      <x:color rgb="FF18323F"/>
      <x:name val="Carlito"/>
    </x:font>
    <x:font>
      <x:b/>
      <x:sz val="11"/>
      <x:color rgb="FF18323F"/>
      <x:name val="Carlito"/>
    </x:font>
    <x:font>
      <x:b/>
      <x:sz val="12"/>
      <x:color rgb="FF18323F"/>
      <x:name val="Carlito"/>
    </x:font>
  </x:fonts>
  <x:fills count="12">
    <x:fill>
      <x:patternFill patternType="none"/>
    </x:fill>
    <x:fill>
      <x:patternFill patternType="gray125"/>
    </x:fill>
    <x:fill>
      <x:patternFill patternType="solid">
        <x:fgColor rgb="FF124E70"/>
      </x:patternFill>
    </x:fill>
    <x:fill>
      <x:patternFill patternType="solid">
        <x:fgColor rgb="FFEAF3F7"/>
      </x:patternFill>
    </x:fill>
    <x:fill>
      <x:patternFill patternType="solid">
        <x:fgColor rgb="FF1F6E8C"/>
      </x:patternFill>
    </x:fill>
    <x:fill>
      <x:patternFill patternType="solid">
        <x:fgColor rgb="FF2E8B8B"/>
      </x:patternFill>
    </x:fill>
    <x:fill>
      <x:patternFill patternType="solid">
        <x:fgColor rgb="FF124E70"/>
      </x:patternFill>
    </x:fill>
    <x:fill>
      <x:patternFill patternType="solid">
        <x:fgColor rgb="FFEAF3F7"/>
      </x:patternFill>
    </x:fill>
    <x:fill>
      <x:patternFill patternType="solid">
        <x:fgColor rgb="FF1F6E8C"/>
      </x:patternFill>
    </x:fill>
    <x:fill>
      <x:patternFill patternType="solid">
        <x:fgColor rgb="FF124E70"/>
      </x:patternFill>
    </x:fill>
    <x:fill>
      <x:patternFill patternType="solid">
        <x:fgColor rgb="FFEAF3F7"/>
      </x:patternFill>
    </x:fill>
    <x:fill>
      <x:patternFill patternType="solid">
        <x:fgColor rgb="FF1F6E8C"/>
      </x:patternFill>
    </x:fill>
  </x:fills>
  <x:borders count="7">
    <x:border/>
    <x:border>
      <x:left style="thin">
        <x:color rgb="FF124E70"/>
      </x:left>
      <x:top style="thin">
        <x:color rgb="FF124E70"/>
      </x:top>
      <x:bottom style="thin">
        <x:color rgb="FF124E70"/>
      </x:bottom>
    </x:border>
    <x:border>
      <x:right style="thin">
        <x:color rgb="FF124E70"/>
      </x:right>
      <x:top style="thin">
        <x:color rgb="FF124E70"/>
      </x:top>
      <x:bottom style="thin">
        <x:color rgb="FF124E70"/>
      </x:bottom>
    </x:border>
    <x:border>
      <x:bottom style="thin">
        <x:color rgb="FFCBD8DE"/>
      </x:bottom>
    </x:border>
    <x:border>
      <x:top style="thin">
        <x:color rgb="FFCBD8DE"/>
      </x:top>
      <x:bottom style="thin">
        <x:color rgb="FFCBD8DE"/>
      </x:bottom>
    </x:border>
    <x:border>
      <x:top style="thin">
        <x:color rgb="FFCBD8DE"/>
      </x:top>
    </x:border>
    <x:border>
      <x:top style="thin">
        <x:color rgb="FF124E70"/>
      </x:top>
      <x:bottom style="thin">
        <x:color rgb="FF124E70"/>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200" fontId="4" fillId="0" borderId="4"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3" fillId="4" borderId="6" xfId="0" applyNumberFormat="1" applyFont="1" applyFill="1" applyBorder="1"/>
    <x:xf numFmtId="0" fontId="3" fillId="4" borderId="6" xfId="0" applyNumberFormat="1" applyFont="1" applyFill="1" applyBorder="1" applyAlignment="1">
      <x:alignment wrapText="1"/>
    </x:xf>
    <x:xf numFmtId="0" fontId="3" fillId="4" borderId="6"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0" fontId="7" fillId="0" borderId="4" xfId="0" applyNumberFormat="1" applyFont="1" applyFill="1" applyBorder="1" applyAlignment="1">
      <x:alignment vertical="center" wrapText="1"/>
    </x:xf>
    <x:xf numFmtId="0" fontId="7" fillId="0" borderId="5" xfId="0" applyNumberFormat="1" applyFont="1" applyFill="1" applyBorder="1" applyAlignment="1">
      <x:alignment vertical="center" wrapText="1"/>
    </x:xf>
    <x:xf numFmtId="0" fontId="8" fillId="0" borderId="0" xfId="0" applyNumberFormat="1" applyFont="1" applyFill="1" applyBorder="1"/>
    <x:xf numFmtId="0" fontId="9" fillId="5" borderId="0" xfId="0" applyNumberFormat="1" applyFont="1" applyFill="1" applyBorder="1"/>
    <x:xf numFmtId="0" fontId="0"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0" xfId="0" applyNumberFormat="1" applyFont="1" applyFill="1" applyBorder="1" applyAlignment="1">
      <x:alignment vertical="center" wrapText="1"/>
    </x:xf>
    <x:xf numFmtId="0" fontId="4"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vertical="center" wrapText="1"/>
    </x:xf>
    <x:xf numFmtId="0" fontId="4"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0" xfId="0" applyNumberFormat="1" applyFont="1" applyFill="1" applyBorder="1" applyAlignment="1">
      <x:alignmen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5" fillId="6" borderId="0" xfId="0" applyNumberFormat="1" applyFont="1" applyFill="1" applyBorder="1"/>
    <x:xf numFmtId="0" fontId="0" fillId="0"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9" borderId="0" xfId="0" applyNumberFormat="1" applyFont="1" applyFill="1" applyBorder="1" applyAlignment="1">
      <x:alignment vertical="center" wrapText="1"/>
    </x:xf>
    <x:xf numFmtId="0" fontId="4" fillId="10"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2" fillId="10" borderId="0" xfId="0" applyNumberFormat="1" applyFont="1" applyFill="1" applyBorder="1" applyAlignment="1">
      <x:alignment vertical="center" wrapText="1"/>
    </x:xf>
    <x:xf numFmtId="0" fontId="4"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3" fillId="11" borderId="0" xfId="0" applyNumberFormat="1" applyFont="1" applyFill="1" applyBorder="1" applyAlignment="1">
      <x:alignment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725ceff9874c08" /><Relationship Type="http://schemas.openxmlformats.org/officeDocument/2006/relationships/theme" Target="/xl/theme/theme1.xml" Id="R52051fd8036d43f9" /><Relationship Type="http://schemas.openxmlformats.org/officeDocument/2006/relationships/sharedStrings" Target="/xl/sharedStrings.xml" Id="R55a3329c5c8d48b9" /><Relationship Type="http://schemas.openxmlformats.org/officeDocument/2006/relationships/worksheet" Target="/xl/worksheets/sheet1.xml" Id="R5a625d02610a41e6" /><Relationship Type="http://schemas.openxmlformats.org/officeDocument/2006/relationships/worksheet" Target="/xl/worksheets/sheet2.xml" Id="R18b847b595274104" /><Relationship Type="http://schemas.openxmlformats.org/officeDocument/2006/relationships/worksheet" Target="/xl/worksheets/sheet3.xml" Id="R7a499f3e53be4b49" /><Relationship Type="http://schemas.openxmlformats.org/officeDocument/2006/relationships/worksheet" Target="/xl/worksheets/sheet4.xml" Id="R332e1c6e44054a6c" /><Relationship Type="http://schemas.openxmlformats.org/officeDocument/2006/relationships/worksheet" Target="/xl/worksheets/sheet5.xml" Id="R0f93be47387e4e6f" /><Relationship Type="http://schemas.openxmlformats.org/officeDocument/2006/relationships/worksheet" Target="/xl/worksheets/sheet6.xml" Id="R0c787c9769174b95" /><Relationship Type="http://schemas.openxmlformats.org/officeDocument/2006/relationships/worksheet" Target="/xl/worksheets/sheet7.xml" Id="R75a1deb3e81d47d8" /><Relationship Type="http://schemas.openxmlformats.org/officeDocument/2006/relationships/worksheet" Target="/xl/worksheets/sheet8.xml" Id="R8b4d9520b6594329" /></Relationships>
</file>

<file path=xl/tables/table1.xml><?xml version="1.0" encoding="utf-8"?>
<x:table xmlns:x="http://schemas.openxmlformats.org/spreadsheetml/2006/main" id="14" name="FamiliesTable" displayName="FamiliesTable" ref="A4:H16" headerRowCount="1" totalsRowCount="0" totalsRowShown="0">
  <x:tableColumns count="8">
    <x:tableColumn id="1" name="Family ID"/>
    <x:tableColumn id="2" name="Family Name"/>
    <x:tableColumn id="3" name="Layer"/>
    <x:tableColumn id="4" name="Definition"/>
    <x:tableColumn id="5" name="Inclusion Rule"/>
    <x:tableColumn id="6" name="Exclusion / Boundary Rule"/>
    <x:tableColumn id="7" name="Representative Drivers"/>
    <x:tableColumn id="8" name="Driver Count"/>
  </x:tableColumns>
  <x:tableStyleInfo name="TableStyleMedium2" showFirstColumn="0" showLastColumn="0" showRowStripes="1" showColumnStripes="0"/>
</x:table>
</file>

<file path=xl/tables/table2.xml><?xml version="1.0" encoding="utf-8"?>
<x:table xmlns:x="http://schemas.openxmlformats.org/spreadsheetml/2006/main" id="15" name="DriversTable" displayName="DriversTable" ref="A4:AA101" headerRowCount="1" totalsRowCount="0" totalsRowShown="0">
  <x:tableColumns count="27">
    <x:tableColumn id="1" name="ID"/>
    <x:tableColumn id="2" name="Name"/>
    <x:tableColumn id="3" name="Other Names / Aliases"/>
    <x:tableColumn id="4" name="Layer"/>
    <x:tableColumn id="5" name="Family"/>
    <x:tableColumn id="6" name="Definition"/>
    <x:tableColumn id="7" name="Data Type"/>
    <x:tableColumn id="8" name="Representation / Scale"/>
    <x:tableColumn id="9" name="Polarity / Direction of Interpretation"/>
    <x:tableColumn id="10" name="Mechanism"/>
    <x:tableColumn id="11" name="Likely Upstream Influences"/>
    <x:tableColumn id="12" name="Likely Downstream Influences"/>
    <x:tableColumn id="13" name="Moderators / Boundary Conditions"/>
    <x:tableColumn id="14" name="Typical Interaction Candidates"/>
    <x:tableColumn id="15" name="Modifiability / Malleability"/>
    <x:tableColumn id="16" name="Volatility"/>
    <x:tableColumn id="17" name="Time Scale of Change"/>
    <x:tableColumn id="18" name="Onset / Causal Lag"/>
    <x:tableColumn id="19" name="Persistence / Recovery"/>
    <x:tableColumn id="20" name="Indicators"/>
    <x:tableColumn id="21" name="Measurement / Assessment Methods"/>
    <x:tableColumn id="22" name="Observability"/>
    <x:tableColumn id="23" name="Measurement Caveats"/>
    <x:tableColumn id="24" name="Evidence Strength"/>
    <x:tableColumn id="25" name="Evidence Notes"/>
    <x:tableColumn id="26" name="Common Misinterpretations"/>
    <x:tableColumn id="27" name="Key Sources"/>
  </x:tableColumns>
  <x:tableStyleInfo name="TableStyleMedium2" showFirstColumn="0" showLastColumn="0" showRowStripes="1" showColumnStripes="0"/>
</x:table>
</file>

<file path=xl/tables/table3.xml><?xml version="1.0" encoding="utf-8"?>
<x:table xmlns:x="http://schemas.openxmlformats.org/spreadsheetml/2006/main" id="16" name="EvidenceTable" displayName="EvidenceTable" ref="A4:M70" headerRowCount="1" totalsRowCount="0" totalsRowShown="0">
  <x:tableColumns count="13">
    <x:tableColumn id="1" name="Evidence ID"/>
    <x:tableColumn id="2" name="Linked Driver IDs"/>
    <x:tableColumn id="3" name="Family / Domain"/>
    <x:tableColumn id="4" name="Citation / Title"/>
    <x:tableColumn id="5" name="Year"/>
    <x:tableColumn id="6" name="Evidence Type"/>
    <x:tableColumn id="7" name="Population"/>
    <x:tableColumn id="8" name="Finding"/>
    <x:tableColumn id="9" name="Direction / Effect"/>
    <x:tableColumn id="10" name="Limitations"/>
    <x:tableColumn id="11" name="Evidence Strength"/>
    <x:tableColumn id="12" name="Source URL"/>
    <x:tableColumn id="13" name="Verification Note"/>
  </x:tableColumns>
  <x:tableStyleInfo name="TableStyleMedium2" showFirstColumn="0" showLastColumn="0" showRowStripes="1" showColumnStripes="0"/>
</x:table>
</file>

<file path=xl/tables/table4.xml><?xml version="1.0" encoding="utf-8"?>
<x:table xmlns:x="http://schemas.openxmlformats.org/spreadsheetml/2006/main" id="17" name="RelationshipsTable" displayName="RelationshipsTable" ref="A4:M65" headerRowCount="1" totalsRowCount="0" totalsRowShown="0">
  <x:tableColumns count="13">
    <x:tableColumn id="1" name="Relationship ID"/>
    <x:tableColumn id="2" name="Source Driver ID"/>
    <x:tableColumn id="3" name="Source Driver"/>
    <x:tableColumn id="4" name="Target Driver ID"/>
    <x:tableColumn id="5" name="Target Driver"/>
    <x:tableColumn id="6" name="Relationship Type"/>
    <x:tableColumn id="7" name="Expected Direction"/>
    <x:tableColumn id="8" name="Functional Form"/>
    <x:tableColumn id="9" name="Moderators / Conditions"/>
    <x:tableColumn id="10" name="Time Lag"/>
    <x:tableColumn id="11" name="Evidence Strength"/>
    <x:tableColumn id="12" name="Evidence Notes"/>
    <x:tableColumn id="13" name="Evidence IDs"/>
  </x:tableColumns>
  <x:tableStyleInfo name="TableStyleMedium2" showFirstColumn="0" showLastColumn="0" showRowStripes="1" showColumnStripes="0"/>
</x:table>
</file>

<file path=xl/tables/table5.xml><?xml version="1.0" encoding="utf-8"?>
<x:table xmlns:x="http://schemas.openxmlformats.org/spreadsheetml/2006/main" id="18" name="OperationalizationsTable" displayName="OperationalizationsTable" ref="A4:I295" headerRowCount="1" totalsRowCount="0" totalsRowShown="0">
  <x:tableColumns count="9">
    <x:tableColumn id="1" name="Operationalization ID"/>
    <x:tableColumn id="2" name="Driver ID"/>
    <x:tableColumn id="3" name="Driver Name"/>
    <x:tableColumn id="4" name="Indicator / Measure"/>
    <x:tableColumn id="5" name="Method Type"/>
    <x:tableColumn id="6" name="Representation / Scale"/>
    <x:tableColumn id="7" name="Observability"/>
    <x:tableColumn id="8" name="Measurement Caveats"/>
    <x:tableColumn id="9" name="Evidence IDs"/>
  </x:tableColumns>
  <x:tableStyleInfo name="TableStyleMedium2" showFirstColumn="0" showLastColumn="0" showRowStripes="1" showColumnStripes="0"/>
</x:table>
</file>

<file path=xl/tables/table6.xml><?xml version="1.0" encoding="utf-8"?>
<x:table xmlns:x="http://schemas.openxmlformats.org/spreadsheetml/2006/main" id="19" name="CautionsTable" displayName="CautionsTable" ref="A4:H91" headerRowCount="1" totalsRowCount="0" totalsRowShown="0">
  <x:tableColumns count="8">
    <x:tableColumn id="1" name="Record ID"/>
    <x:tableColumn id="2" name="Candidate / Claim"/>
    <x:tableColumn id="3" name="Record Type"/>
    <x:tableColumn id="4" name="Disposition"/>
    <x:tableColumn id="5" name="Canonical Target ID"/>
    <x:tableColumn id="6" name="Rationale / Rule"/>
    <x:tableColumn id="7" name="Evidence / Notes"/>
    <x:tableColumn id="8" name="Cross-Layer Flag"/>
  </x:tableColumns>
  <x:tableStyleInfo name="TableStyleMedium2" showFirstColumn="0" showLastColumn="0" showRowStripes="1" showColumnStripes="0"/>
</x:table>
</file>

<file path=xl/tables/table7.xml><?xml version="1.0" encoding="utf-8"?>
<x:table xmlns:x="http://schemas.openxmlformats.org/spreadsheetml/2006/main" id="7" name="CodebookTable" displayName="CodebookTable" ref="A4:F50" headerRowCount="1" totalsRowCount="0" totalsRowShown="0">
  <x:autoFilter ref="A4:F50"/>
  <x:tableColumns count="6">
    <x:tableColumn id="1" name="Sheet"/>
    <x:tableColumn id="2" name="Field"/>
    <x:tableColumn id="3" name="Definition"/>
    <x:tableColumn id="4" name="Allowed Values / Format"/>
    <x:tableColumn id="5" name="Required"/>
    <x:tableColumn id="6" name="Rule / Guid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2ffda0adf54b40" /></Relationships>
</file>

<file path=xl/worksheets/_rels/sheet3.xml.rels>&#65279;<?xml version="1.0" encoding="utf-8"?><Relationships xmlns="http://schemas.openxmlformats.org/package/2006/relationships"><Relationship Type="http://schemas.openxmlformats.org/officeDocument/2006/relationships/table" Target="/xl/tables/table2.xml" Id="Rdf286767dba744ed" /></Relationships>
</file>

<file path=xl/worksheets/_rels/sheet4.xml.rels>&#65279;<?xml version="1.0" encoding="utf-8"?><Relationships xmlns="http://schemas.openxmlformats.org/package/2006/relationships"><Relationship Type="http://schemas.openxmlformats.org/officeDocument/2006/relationships/table" Target="/xl/tables/table3.xml" Id="Rb1772cebac51413d" /></Relationships>
</file>

<file path=xl/worksheets/_rels/sheet5.xml.rels>&#65279;<?xml version="1.0" encoding="utf-8"?><Relationships xmlns="http://schemas.openxmlformats.org/package/2006/relationships"><Relationship Type="http://schemas.openxmlformats.org/officeDocument/2006/relationships/table" Target="/xl/tables/table4.xml" Id="R40bae8c87e794903" /></Relationships>
</file>

<file path=xl/worksheets/_rels/sheet6.xml.rels>&#65279;<?xml version="1.0" encoding="utf-8"?><Relationships xmlns="http://schemas.openxmlformats.org/package/2006/relationships"><Relationship Type="http://schemas.openxmlformats.org/officeDocument/2006/relationships/table" Target="/xl/tables/table5.xml" Id="Rb1cb6e4a5d2e4a9c" /></Relationships>
</file>

<file path=xl/worksheets/_rels/sheet7.xml.rels>&#65279;<?xml version="1.0" encoding="utf-8"?><Relationships xmlns="http://schemas.openxmlformats.org/package/2006/relationships"><Relationship Type="http://schemas.openxmlformats.org/officeDocument/2006/relationships/table" Target="/xl/tables/table6.xml" Id="Rc1d52f3474604a62" /></Relationships>
</file>

<file path=xl/worksheets/_rels/sheet8.xml.rels>&#65279;<?xml version="1.0" encoding="utf-8"?><Relationships xmlns="http://schemas.openxmlformats.org/package/2006/relationships"><Relationship Type="http://schemas.openxmlformats.org/officeDocument/2006/relationships/table" Target="/xl/tables/table7.xml" Id="R2b67afa4b04f4ee7"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72" hidden="0" customWidth="1"/>
    <x:col min="3" max="3" width="22" hidden="0" customWidth="1"/>
    <x:col min="4" max="4" width="25" hidden="0" customWidth="1"/>
    <x:col min="5" max="5" width="22" hidden="0" customWidth="1"/>
    <x:col min="6" max="6" width="48" hidden="0" customWidth="1"/>
    <x:col min="7" max="7" width="22" hidden="0" customWidth="1"/>
    <x:col min="8" max="8" width="13" hidden="0" customWidth="1"/>
  </x:cols>
  <x:sheetData>
    <x:row r="1" ht="30" customHeight="1">
      <x:c r="A1" s="69" t="str">
        <x:v>PSYWERX Social Driver Ontology — Layer 3 (v1.0)</x:v>
      </x:c>
      <x:c r="B1" s="69"/>
      <x:c r="C1" s="69"/>
      <x:c r="D1" s="69"/>
      <x:c r="E1" s="69"/>
      <x:c r="F1" s="69"/>
      <x:c r="G1" s="69"/>
      <x:c r="H1" s="69"/>
    </x:row>
    <x:row r="2" ht="48" customHeight="1">
      <x:c r="A2" s="72" t="str">
        <x:v>Rebuilt under PSYWERX Driver Ontology Standard v1.0 and the frozen Layer 1/2 workbook architecture. Social drivers are externally instantiated relational, group, network, and intergroup conditions; their effects remain probabilistic, contextual, multilevel, and cross-layer.</x:v>
      </x:c>
      <x:c r="B2" s="72"/>
      <x:c r="C2" s="72"/>
      <x:c r="D2" s="72"/>
      <x:c r="E2" s="72"/>
      <x:c r="F2" s="72"/>
      <x:c r="G2" s="72"/>
      <x:c r="H2" s="72"/>
    </x:row>
    <x:row r="3" ht="8" customHeight="1">
      <x:c r="A3" s="65"/>
      <x:c r="B3" s="65"/>
      <x:c r="C3" s="65"/>
      <x:c r="D3" s="65"/>
      <x:c r="E3" s="65"/>
      <x:c r="F3" s="65"/>
      <x:c r="G3" s="65"/>
      <x:c r="H3" s="65"/>
    </x:row>
    <x:row r="4" ht="36" customHeight="1">
      <x:c r="A4" s="75" t="str">
        <x:v>Field</x:v>
      </x:c>
      <x:c r="B4" s="75" t="str">
        <x:v>Value</x:v>
      </x:c>
      <x:c r="C4" s="65"/>
      <x:c r="D4" s="75" t="str">
        <x:v>Metric</x:v>
      </x:c>
      <x:c r="E4" s="75" t="str">
        <x:v>Value</x:v>
      </x:c>
      <x:c r="F4" s="65"/>
      <x:c r="G4" s="75" t="str">
        <x:v>Evidence Strength</x:v>
      </x:c>
      <x:c r="H4" s="75" t="str">
        <x:v>Count</x:v>
      </x:c>
    </x:row>
    <x:row r="5" ht="48" customHeight="1">
      <x:c r="A5" s="65" t="str">
        <x:v>Layer</x:v>
      </x:c>
      <x:c r="B5" s="65" t="str">
        <x:v>Social</x:v>
      </x:c>
      <x:c r="C5" s="65"/>
      <x:c r="D5" s="65" t="str">
        <x:v>Canonical drivers</x:v>
      </x:c>
      <x:c r="E5" s="65" t="n">
        <x:f>COUNTA('Drivers'!A5:A101)</x:f>
        <x:v>97</x:v>
      </x:c>
      <x:c r="F5" s="65"/>
      <x:c r="G5" s="65" t="str">
        <x:v>Strong</x:v>
      </x:c>
      <x:c r="H5" s="65" t="n">
        <x:f>COUNTIF('Drivers'!X5:X101,"Strong")</x:f>
        <x:v>60</x:v>
      </x:c>
    </x:row>
    <x:row r="6" ht="48" customHeight="1">
      <x:c r="A6" s="65" t="str">
        <x:v>Layer definition</x:v>
      </x:c>
      <x:c r="B6" s="65" t="str">
        <x:v>Externally instantiated properties of interpersonal relationships, interaction patterns, groups, social networks, audiences, normative climates, status systems, collective coordination, and intergroup relations that can alter behavioral pathways.</x:v>
      </x:c>
      <x:c r="C6" s="65"/>
      <x:c r="D6" s="65" t="str">
        <x:v>Families</x:v>
      </x:c>
      <x:c r="E6" s="65" t="n">
        <x:f>COUNTA('Families'!A5:A16)</x:f>
        <x:v>12</x:v>
      </x:c>
      <x:c r="F6" s="65"/>
      <x:c r="G6" s="65" t="str">
        <x:v>Moderate</x:v>
      </x:c>
      <x:c r="H6" s="65" t="n">
        <x:f>COUNTIF('Drivers'!X5:X101,"Moderate")</x:f>
        <x:v>37</x:v>
      </x:c>
    </x:row>
    <x:row r="7" ht="48" customHeight="1">
      <x:c r="A7" s="65" t="str">
        <x:v>Scope</x:v>
      </x:c>
      <x:c r="B7" s="65" t="str">
        <x:v>Observable or estimable dyadic, group, network, and intergroup conditions, including actual norm prevalence and enforcement, social exposure, relational embeddedness, enacted support, cooperation, rank, reputation, network topology, group structure, coordination, accountability, audience conditions, and cross-group contact or competition.</x:v>
      </x:c>
      <x:c r="C7" s="65"/>
      <x:c r="D7" s="65" t="str">
        <x:v>Evidence records</x:v>
      </x:c>
      <x:c r="E7" s="65" t="n">
        <x:f>COUNTA('Evidence Library'!A5:A70)</x:f>
        <x:v>66</x:v>
      </x:c>
      <x:c r="F7" s="65"/>
      <x:c r="G7" s="65" t="str">
        <x:v>Emerging</x:v>
      </x:c>
      <x:c r="H7" s="65" t="n">
        <x:f>COUNTIF('Drivers'!X5:X101,"Emerging")</x:f>
        <x:v>0</x:v>
      </x:c>
    </x:row>
    <x:row r="8" ht="48" customHeight="1">
      <x:c r="A8" s="65" t="str">
        <x:v>Boundary with other layers</x:v>
      </x:c>
      <x:c r="B8" s="65" t="str">
        <x:v>Internal perceptions, identity, emotion, appraisal, motives, and social-comparison processes remain Psychological; cultural meanings and values remain Cultural; formal rules and durable resource-allocation systems remain Institutional / Structural; message and channel properties remain Informational or Technological.</x:v>
      </x:c>
      <x:c r="C8" s="65"/>
      <x:c r="D8" s="65" t="str">
        <x:v>Relationships</x:v>
      </x:c>
      <x:c r="E8" s="65" t="n">
        <x:f>COUNTA('Relationships'!A5:A65)</x:f>
        <x:v>61</x:v>
      </x:c>
      <x:c r="F8" s="65"/>
      <x:c r="G8" s="65" t="str">
        <x:v>Mixed</x:v>
      </x:c>
      <x:c r="H8" s="65" t="n">
        <x:f>COUNTIF('Drivers'!X5:X101,"Mixed")</x:f>
        <x:v>0</x:v>
      </x:c>
    </x:row>
    <x:row r="9" ht="48" customHeight="1">
      <x:c r="A9" s="65" t="str">
        <x:v>Ontology Standard Version</x:v>
      </x:c>
      <x:c r="B9" s="65" t="str">
        <x:v>PSYWERX Driver Ontology Standard v1.0</x:v>
      </x:c>
      <x:c r="C9" s="65"/>
      <x:c r="D9" s="65" t="str">
        <x:v>Operationalizations</x:v>
      </x:c>
      <x:c r="E9" s="65" t="n">
        <x:f>COUNTA('Operationalizations'!A5:A295)</x:f>
        <x:v>291</x:v>
      </x:c>
      <x:c r="F9" s="65"/>
      <x:c r="G9" s="65" t="str">
        <x:v>Limited</x:v>
      </x:c>
      <x:c r="H9" s="65" t="n">
        <x:f>COUNTIF('Drivers'!X5:X101,"Limited")</x:f>
        <x:v>0</x:v>
      </x:c>
    </x:row>
    <x:row r="10" ht="48" customHeight="1">
      <x:c r="A10" s="65" t="str">
        <x:v>Layer Taxonomy Version</x:v>
      </x:c>
      <x:c r="B10" s="65" t="str">
        <x:v>Social v1.0</x:v>
      </x:c>
      <x:c r="C10" s="65"/>
      <x:c r="D10" s="65" t="str">
        <x:v>Cross-layer review flags</x:v>
      </x:c>
      <x:c r="E10" s="65" t="n">
        <x:f>COUNTA('Cautions &amp; Exclusions'!H5:H91)</x:f>
        <x:v>87</x:v>
      </x:c>
      <x:c r="F10" s="65"/>
      <x:c r="G10" s="65" t="str">
        <x:v>Total</x:v>
      </x:c>
      <x:c r="H10" s="65" t="n">
        <x:f>COUNTA('Drivers'!A5:A101)</x:f>
        <x:v>97</x:v>
      </x:c>
    </x:row>
    <x:row r="11" ht="48" customHeight="1">
      <x:c r="A11" s="65" t="str">
        <x:v>Creation Date</x:v>
      </x:c>
      <x:c r="B11" s="67" t="n">
        <x:v>46260</x:v>
      </x:c>
      <x:c r="C11" s="65"/>
      <x:c r="D11" s="65"/>
      <x:c r="E11" s="65"/>
      <x:c r="F11" s="65"/>
      <x:c r="G11" s="65"/>
      <x:c r="H11" s="65"/>
    </x:row>
    <x:row r="12" ht="48" customHeight="1">
      <x:c r="A12" s="65" t="str">
        <x:v>Last Review Date</x:v>
      </x:c>
      <x:c r="B12" s="67" t="n">
        <x:v>46260</x:v>
      </x:c>
      <x:c r="C12" s="65"/>
      <x:c r="D12" s="65"/>
      <x:c r="E12" s="65"/>
      <x:c r="F12" s="65"/>
      <x:c r="G12" s="65"/>
      <x:c r="H12" s="65"/>
    </x:row>
    <x:row r="13" ht="48" customHeight="1">
      <x:c r="A13" s="65" t="str">
        <x:v>Known gaps</x:v>
      </x:c>
      <x:c r="B13" s="65" t="str">
        <x:v>The evidence library is representative rather than a new systematic review for every construct. Network and group measures require explicit boundaries and levels; relationship coverage is deliberately conservative; and flagged Psychological, Cultural, Institutional, Informational, and Technological boundaries require ontology-wide harmonization.</x:v>
      </x:c>
      <x:c r="C13" s="65"/>
      <x:c r="D13" s="65"/>
      <x:c r="E13" s="65"/>
      <x:c r="F13" s="65"/>
      <x:c r="G13" s="65"/>
      <x:c r="H13" s="65"/>
    </x:row>
    <x:row r="14" ht="8" customHeight="1">
      <x:c r="A14" s="65"/>
      <x:c r="B14" s="65"/>
      <x:c r="C14" s="65"/>
      <x:c r="D14" s="65"/>
      <x:c r="E14" s="65"/>
      <x:c r="F14" s="65"/>
      <x:c r="G14" s="65"/>
      <x:c r="H14" s="65"/>
    </x:row>
    <x:row r="15" ht="26" customHeight="1">
      <x:c r="A15" s="88" t="str">
        <x:v>Migration decisions</x:v>
      </x:c>
      <x:c r="B15" s="88"/>
      <x:c r="C15" s="88"/>
      <x:c r="D15" s="88"/>
      <x:c r="E15" s="88"/>
      <x:c r="F15" s="88"/>
      <x:c r="G15" s="88"/>
      <x:c r="H15" s="88"/>
    </x:row>
    <x:row r="16" ht="38" customHeight="1">
      <x:c r="A16" s="75" t="str">
        <x:v>Decision</x:v>
      </x:c>
      <x:c r="B16" s="75" t="str">
        <x:v>Reason</x:v>
      </x:c>
      <x:c r="C16" s="75" t="str">
        <x:v>Affected legacy items</x:v>
      </x:c>
      <x:c r="D16" s="75" t="str">
        <x:v>Result</x:v>
      </x:c>
      <x:c r="E16" s="75" t="str">
        <x:v>Standard impact</x:v>
      </x:c>
      <x:c r="F16" s="75" t="str">
        <x:v>Cross-layer impact</x:v>
      </x:c>
      <x:c r="G16" s="65"/>
      <x:c r="H16" s="65"/>
    </x:row>
    <x:row r="17" ht="86" customHeight="1">
      <x:c r="A17" s="65" t="str">
        <x:v>Retain and normalize valid Social variables</x:v>
      </x:c>
      <x:c r="B17" s="65" t="str">
        <x:v>Legacy candidates that represented external social conditions were retained or recast as directionally interpretable variables.</x:v>
      </x:c>
      <x:c r="C17" s="65" t="n">
        <x:v>13</x:v>
      </x:c>
      <x:c r="D17" s="65" t="str">
        <x:v>Canonical names now identify what varies, with explicit referent, level, setting, and time window.</x:v>
      </x:c>
      <x:c r="E17" s="65" t="str">
        <x:v>None</x:v>
      </x:c>
      <x:c r="F17" s="65" t="str">
        <x:v>Perceived counterparts remain in Psychological rather than being duplicated.</x:v>
      </x:c>
      <x:c r="G17" s="65"/>
      <x:c r="H17" s="65"/>
    </x:row>
    <x:row r="18" ht="86" customHeight="1">
      <x:c r="A18" s="65" t="str">
        <x:v>Split compound candidates</x:v>
      </x:c>
      <x:c r="B18" s="65" t="str">
        <x:v>Legacy labels often combined topology with process, opportunity with mechanism, or several measurement dimensions.</x:v>
      </x:c>
      <x:c r="C18" s="65" t="n">
        <x:v>20</x:v>
      </x:c>
      <x:c r="D18" s="65" t="str">
        <x:v>Compound items were separated into atomic causal nodes with independent scales and operationalizations.</x:v>
      </x:c>
      <x:c r="E18" s="65" t="str">
        <x:v>None</x:v>
      </x:c>
      <x:c r="F18" s="65" t="str">
        <x:v>Formal, informational, technological, or psychological components were routed to their native layers.</x:v>
      </x:c>
      <x:c r="G18" s="65"/>
      <x:c r="H18" s="65"/>
    </x:row>
    <x:row r="19" ht="86" customHeight="1">
      <x:c r="A19" s="65" t="str">
        <x:v>Exclude or reclassify non-drivers</x:v>
      </x:c>
      <x:c r="B19" s="65" t="str">
        <x:v>Behaviors, outcomes, mechanisms, appraisals, identity states, and demographic or institutional proxies fail the Social-driver inclusion test.</x:v>
      </x:c>
      <x:c r="C19" s="65" t="n">
        <x:v>24</x:v>
      </x:c>
      <x:c r="D19" s="65" t="str">
        <x:v>Every excluded legacy candidate remains traceable in the migration ledger with rationale and retained counterparts where applicable.</x:v>
      </x:c>
      <x:c r="E19" s="65" t="str">
        <x:v>None</x:v>
      </x:c>
      <x:c r="F19" s="65" t="str">
        <x:v>Psychological and other-layer placements are flagged for harmonization.</x:v>
      </x:c>
      <x:c r="G19" s="65"/>
      <x:c r="H19" s="65"/>
    </x:row>
    <x:row r="20" ht="86" customHeight="1">
      <x:c r="A20" s="65" t="str">
        <x:v>Add missing high-value Social variables</x:v>
      </x:c>
      <x:c r="B20" s="65" t="str">
        <x:v>The source workbook underrepresented relational dimensions, support types, network measurement, group composition, accountability, and intergroup structure.</x:v>
      </x:c>
      <x:c r="C20" s="65" t="str">
        <x:v>None; gap review</x:v>
      </x:c>
      <x:c r="D20" s="65" t="str">
        <x:v>30 new canonical drivers added after structured gap review.</x:v>
      </x:c>
      <x:c r="E20" s="65" t="str">
        <x:v>None</x:v>
      </x:c>
      <x:c r="F20" s="65" t="str">
        <x:v>External conditions were defined to avoid duplicating completed Layer 1/2 nodes.</x:v>
      </x:c>
      <x:c r="G20" s="65"/>
      <x:c r="H20" s="65"/>
    </x:row>
    <x:row r="21" ht="86" customHeight="1">
      <x:c r="A21" s="65" t="str">
        <x:v>Preserve global ID uniqueness</x:v>
      </x:c>
      <x:c r="B21" s="65" t="str">
        <x:v>Completed layers already use global evidence and audit namespaces without layer prefixes.</x:v>
      </x:c>
      <x:c r="C21" s="65" t="str">
        <x:v>Evidence and caution records</x:v>
      </x:c>
      <x:c r="D21" s="65" t="str">
        <x:v>Evidence begins at SRC208; scientific cautions at CAU-053; migrations at MIG-162.</x:v>
      </x:c>
      <x:c r="E21" s="65" t="str">
        <x:v>None</x:v>
      </x:c>
      <x:c r="F21" s="65" t="str">
        <x:v>Direct combination with Layers 1 and 2 avoids identifier collisions.</x:v>
      </x:c>
      <x:c r="G21" s="65"/>
      <x:c r="H21" s="65"/>
    </x:row>
    <x:row r="22" ht="86" customHeight="1">
      <x:c r="A22" s="65" t="str">
        <x:v>Defer ontology-wide placement conflicts</x:v>
      </x:c>
      <x:c r="B22" s="65" t="str">
        <x:v>A few prompt examples and legacy labels span perception, culture, institutions, information, technology, or social structure.</x:v>
      </x:c>
      <x:c r="C22" s="65" t="str">
        <x:v>Flagged boundary records</x:v>
      </x:c>
      <x:c r="D22" s="65" t="str">
        <x:v>No completed layer or frozen codebook was silently changed; ambiguous placements are documented for cross-layer QA.</x:v>
      </x:c>
      <x:c r="E22" s="65" t="str">
        <x:v>None</x:v>
      </x:c>
      <x:c r="F22" s="65" t="str">
        <x:v>Norm perception, authority, common knowledge, network technology, and intergroup inequality require later review.</x:v>
      </x:c>
      <x:c r="G22" s="65"/>
      <x:c r="H22" s="65"/>
    </x:row>
  </x:sheetData>
  <x:mergeCells>
    <x:mergeCell ref="A1:H1"/>
    <x:mergeCell ref="A2:H2"/>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16" hidden="0" customWidth="1"/>
    <x:col min="4" max="4" width="48" hidden="0" customWidth="1"/>
    <x:col min="5" max="5" width="44" hidden="0" customWidth="1"/>
    <x:col min="6" max="6" width="50" hidden="0" customWidth="1"/>
    <x:col min="7" max="7" width="44" hidden="0" customWidth="1"/>
    <x:col min="8" max="8" width="13" hidden="0" customWidth="1"/>
  </x:cols>
  <x:sheetData>
    <x:row r="1" ht="30" customHeight="1">
      <x:c r="A1" s="70" t="str">
        <x:v>PSYWERX Social Driver Ontology — Families</x:v>
      </x:c>
      <x:c r="B1" s="70"/>
      <x:c r="C1" s="70"/>
      <x:c r="D1" s="70"/>
      <x:c r="E1" s="70"/>
      <x:c r="F1" s="70"/>
      <x:c r="G1" s="70"/>
      <x:c r="H1" s="70"/>
    </x:row>
    <x:row r="2" ht="46" customHeight="1">
      <x:c r="A2" s="73" t="str">
        <x:v>Organizational groupings are coherent classes of Social variables, not causal nodes. Every driver has exactly one primary family and an explicit boundary from Psychological, Cultural, Institutional, Informational, and Technological counterparts.</x:v>
      </x:c>
      <x:c r="B2" s="73"/>
      <x:c r="C2" s="73"/>
      <x:c r="D2" s="73"/>
      <x:c r="E2" s="73"/>
      <x:c r="F2" s="73"/>
      <x:c r="G2" s="73"/>
      <x:c r="H2" s="73"/>
    </x:row>
    <x:row r="3" ht="8" customHeight="1">
      <x:c r="A3" s="43"/>
      <x:c r="B3" s="43"/>
      <x:c r="C3" s="43"/>
      <x:c r="D3" s="43"/>
      <x:c r="E3" s="43"/>
      <x:c r="F3" s="43"/>
      <x:c r="G3" s="43"/>
      <x:c r="H3" s="43"/>
    </x:row>
    <x:row r="4" ht="48" customHeight="1">
      <x:c r="A4" s="76" t="str">
        <x:v>Family ID</x:v>
      </x:c>
      <x:c r="B4" s="76" t="str">
        <x:v>Family Name</x:v>
      </x:c>
      <x:c r="C4" s="76" t="str">
        <x:v>Layer</x:v>
      </x:c>
      <x:c r="D4" s="76" t="str">
        <x:v>Definition</x:v>
      </x:c>
      <x:c r="E4" s="76" t="str">
        <x:v>Inclusion Rule</x:v>
      </x:c>
      <x:c r="F4" s="76" t="str">
        <x:v>Exclusion / Boundary Rule</x:v>
      </x:c>
      <x:c r="G4" s="76" t="str">
        <x:v>Representative Drivers</x:v>
      </x:c>
      <x:c r="H4" s="76" t="str">
        <x:v>Driver Count</x:v>
      </x:c>
    </x:row>
    <x:row r="5" ht="64" customHeight="1">
      <x:c r="A5" s="43" t="str">
        <x:v>SOC-F01</x:v>
      </x:c>
      <x:c r="B5" s="43" t="str">
        <x:v>Normative Climate &amp; Informal Enforcement</x:v>
      </x:c>
      <x:c r="C5" s="43" t="str">
        <x:v>Social</x:v>
      </x:c>
      <x:c r="D5" s="43" t="str">
        <x:v>Group-level behavioral regularities, expressed approval patterns, and informal reinforcement conditions that make conduct more or less socially expected.</x:v>
      </x:c>
      <x:c r="E5" s="43" t="str">
        <x:v>Observed behavioral prevalence, publicly expressed approval, consensus, trends, visibility, and informal social rewards or sanctions.</x:v>
      </x:c>
      <x:c r="F5" s="43" t="str">
        <x:v>An individual's perceived norms (Psychological), deeply shared cultural meanings (Cultural), and formal rules or penalties (Institutional / Structural).</x:v>
      </x:c>
      <x:c r="G5" s="43" t="str">
        <x:v>Behavioral Prevalence; Expressed Approval Prevalence; Norm Consensus; Norm Change Rate; Norm Visibility; Informal Sanction Probability</x:v>
      </x:c>
      <x:c r="H5" s="43" t="n">
        <x:v>8</x:v>
      </x:c>
    </x:row>
    <x:row r="6" ht="64" customHeight="1">
      <x:c r="A6" s="43" t="str">
        <x:v>SOC-F02</x:v>
      </x:c>
      <x:c r="B6" s="43" t="str">
        <x:v>Direct Social Influence Conditions</x:v>
      </x:c>
      <x:c r="C6" s="43" t="str">
        <x:v>Social</x:v>
      </x:c>
      <x:c r="D6" s="43" t="str">
        <x:v>Observable properties of other people and influence settings that change the social evidence, pressure, or models available to an actor.</x:v>
      </x:c>
      <x:c r="E6" s="43" t="str">
        <x:v>Majority size and unanimity, minority consistency, peer presence and exposure, and socially relevant model similarity or status.</x:v>
      </x:c>
      <x:c r="F6" s="43" t="str">
        <x:v>Conformity itself, internal normative or informational influence mechanisms, persuasion judgments, and message-content properties.</x:v>
      </x:c>
      <x:c r="G6" s="43" t="str">
        <x:v>Majority Signal Size; Majority Unanimity; Minority Consistency; Peer Presence; Peer Behavior Exposure Frequency; Social Model Similarity</x:v>
      </x:c>
      <x:c r="H6" s="43" t="n">
        <x:v>7</x:v>
      </x:c>
    </x:row>
    <x:row r="7" ht="64" customHeight="1">
      <x:c r="A7" s="43" t="str">
        <x:v>SOC-F03</x:v>
      </x:c>
      <x:c r="B7" s="43" t="str">
        <x:v>Interaction &amp; Relational Embeddedness</x:v>
      </x:c>
      <x:c r="C7" s="43" t="str">
        <x:v>Social</x:v>
      </x:c>
      <x:c r="D7" s="43" t="str">
        <x:v>Properties of recurring interpersonal interaction and dyadic ties that determine access, obligation, familiarity, and relational constraint.</x:v>
      </x:c>
      <x:c r="E7" s="43" t="str">
        <x:v>Interaction amount, relationship duration and stability, closeness, reciprocity, multiplexity, and negative interaction frequency.</x:v>
      </x:c>
      <x:c r="F7" s="43" t="str">
        <x:v>Perceived belonging or trust, network-wide topology, formal role assignments, and one-off behavior without a relational state.</x:v>
      </x:c>
      <x:c r="G7" s="43" t="str">
        <x:v>Interaction Frequency; Interaction Duration; Relationship Duration; Relational Closeness; Tie Reciprocity; Tie Multiplexity</x:v>
      </x:c>
      <x:c r="H7" s="43" t="n">
        <x:v>8</x:v>
      </x:c>
    </x:row>
    <x:row r="8" ht="64" customHeight="1">
      <x:c r="A8" s="43" t="str">
        <x:v>SOC-F04</x:v>
      </x:c>
      <x:c r="B8" s="43" t="str">
        <x:v>Inclusion, Support &amp; Social Integration</x:v>
      </x:c>
      <x:c r="C8" s="43" t="str">
        <x:v>Social</x:v>
      </x:c>
      <x:c r="D8" s="43" t="str">
        <x:v>Observable access to relationships, supportive transactions, participation, and exclusion that embed or isolate an actor within a social system.</x:v>
      </x:c>
      <x:c r="E8" s="43" t="str">
        <x:v>Personal-network size and breadth, support availability and receipt, inclusion and ostracism events, and objective social isolation.</x:v>
      </x:c>
      <x:c r="F8" s="43" t="str">
        <x:v>Perceived support, loneliness, belonging, attachment needs, and clinical or health outcomes.</x:v>
      </x:c>
      <x:c r="G8" s="43" t="str">
        <x:v>Personal Network Size; Social Integration Breadth; Support Provider Availability; Received Emotional Support; Received Instrumental Support; Received Informational Support</x:v>
      </x:c>
      <x:c r="H8" s="43" t="n">
        <x:v>9</x:v>
      </x:c>
    </x:row>
    <x:row r="9" ht="64" customHeight="1">
      <x:c r="A9" s="43" t="str">
        <x:v>SOC-F05</x:v>
      </x:c>
      <x:c r="B9" s="43" t="str">
        <x:v>Cooperation, Reciprocity &amp; Mutual Dependence</x:v>
      </x:c>
      <x:c r="C9" s="43" t="str">
        <x:v>Social</x:v>
      </x:c>
      <x:c r="D9" s="43" t="str">
        <x:v>Relational conditions governing reliable exchange, mutual aid, repeated cooperation, resource sharing, and vulnerability to free riding.</x:v>
      </x:c>
      <x:c r="E9" s="43" t="str">
        <x:v>Partner reliability, cooperation prevalence, reciprocity balance, repeated interaction, mutual aid, resource sharing, and free-riding prevalence.</x:v>
      </x:c>
      <x:c r="F9" s="43" t="str">
        <x:v>Interpersonal trust or fairness appraisals, prosocial traits, formal contracts, and cooperation as an unanalyzed behavioral outcome.</x:v>
      </x:c>
      <x:c r="G9" s="43" t="str">
        <x:v>Partner Reliability; Cooperation Prevalence; Reciprocity Balance; Repeated Interaction Probability; Mutual Aid Frequency; Resource-Sharing Rate</x:v>
      </x:c>
      <x:c r="H9" s="43" t="n">
        <x:v>7</x:v>
      </x:c>
    </x:row>
    <x:row r="10" ht="64" customHeight="1">
      <x:c r="A10" s="43" t="str">
        <x:v>SOC-F06</x:v>
      </x:c>
      <x:c r="B10" s="43" t="str">
        <x:v>Status, Reputation &amp; Relational Power</x:v>
      </x:c>
      <x:c r="C10" s="43" t="str">
        <x:v>Social</x:v>
      </x:c>
      <x:c r="D10" s="43" t="str">
        <x:v>Socially conferred rank, standing, deference, and asymmetric control that structure whose preferences and actions carry weight.</x:v>
      </x:c>
      <x:c r="E10" s="43" t="str">
        <x:v>Status rank and hierarchy shape, reputation, deference, resource or dependence asymmetry, and informal authority.</x:v>
      </x:c>
      <x:c r="F10" s="43" t="str">
        <x:v>Status motives or perceived status (Psychological), demographic labels, and authority defined solely by law or office (Institutional / Structural).</x:v>
      </x:c>
      <x:c r="G10" s="43" t="str">
        <x:v>Status Rank; Status Hierarchy Steepness; Status Mobility Rate; Reputation Valence; Reputation Visibility; Deference Received</x:v>
      </x:c>
      <x:c r="H10" s="43" t="n">
        <x:v>9</x:v>
      </x:c>
    </x:row>
    <x:row r="11" ht="64" customHeight="1">
      <x:c r="A11" s="43" t="str">
        <x:v>SOC-F07</x:v>
      </x:c>
      <x:c r="B11" s="43" t="str">
        <x:v>Network Structure &amp; Position</x:v>
      </x:c>
      <x:c r="C11" s="43" t="str">
        <x:v>Social</x:v>
      </x:c>
      <x:c r="D11" s="43" t="str">
        <x:v>Graph-level and actor-position variables describing connectivity, closure, brokerage, assortative mixing, and separation in social networks.</x:v>
      </x:c>
      <x:c r="E11" s="43" t="str">
        <x:v>Recognized network measures with explicit relational meaning, including centrality, density, clustering, constraint, cross-cluster ties, and segregation.</x:v>
      </x:c>
      <x:c r="F11" s="43" t="str">
        <x:v>Platform algorithms, raw trace counts without a defined network, perceived network position, and diffusion outcomes.</x:v>
      </x:c>
      <x:c r="G11" s="43" t="str">
        <x:v>Degree Centrality; Betweenness Centrality; Eigenvector Centrality; Network Density; Local Clustering; Network Assortativity</x:v>
      </x:c>
      <x:c r="H11" s="43" t="n">
        <x:v>9</x:v>
      </x:c>
    </x:row>
    <x:row r="12" ht="64" customHeight="1">
      <x:c r="A12" s="43" t="str">
        <x:v>SOC-F08</x:v>
      </x:c>
      <x:c r="B12" s="43" t="str">
        <x:v>Network Exposure &amp; Social Diffusion</x:v>
      </x:c>
      <x:c r="C12" s="43" t="str">
        <x:v>Social</x:v>
      </x:c>
      <x:c r="D12" s="43" t="str">
        <x:v>Relational exposure conditions through which behaviors, practices, and social signals reach an actor through a network.</x:v>
      </x:c>
      <x:c r="E12" s="43" t="str">
        <x:v>Proportion, frequency, independence, reinforcement, referent influence, and cross-cluster composition of network exposure.</x:v>
      </x:c>
      <x:c r="F12" s="43" t="str">
        <x:v>Information accuracy or framing, algorithmic ranking, adoption behavior itself, and influence inferred from observational similarity alone.</x:v>
      </x:c>
      <x:c r="G12" s="43" t="str">
        <x:v>Network Exposure Proportion; Exposure Frequency; Independent Exposure Source Count; Social Reinforcement Multiplicity; Influential-Referent Exposure; Cross-Cluster Exposure</x:v>
      </x:c>
      <x:c r="H12" s="43" t="n">
        <x:v>6</x:v>
      </x:c>
    </x:row>
    <x:row r="13" ht="64" customHeight="1">
      <x:c r="A13" s="43" t="str">
        <x:v>SOC-F09</x:v>
      </x:c>
      <x:c r="B13" s="43" t="str">
        <x:v>Group Composition, Cohesion &amp; Deliberation</x:v>
      </x:c>
      <x:c r="C13" s="43" t="str">
        <x:v>Social</x:v>
      </x:c>
      <x:c r="D13" s="43" t="str">
        <x:v>Properties of bounded groups that shape participation, information pooling, dissent, subgroup formation, and sustained joint activity.</x:v>
      </x:c>
      <x:c r="E13" s="43" t="str">
        <x:v>Group size, cohesion, turnover, roles, opinion diversity, dissent availability, participation equality, shared-information coverage, and factionalization.</x:v>
      </x:c>
      <x:c r="F13" s="43" t="str">
        <x:v>Individual identity or emotion, performance outcomes, formal governance rules, and group labels without a varying property.</x:v>
      </x:c>
      <x:c r="G13" s="43" t="str">
        <x:v>Group Size; Group Cohesion; Member Turnover Rate; Role Differentiation; Opinion Diversity; Dissent Availability</x:v>
      </x:c>
      <x:c r="H13" s="43" t="n">
        <x:v>9</x:v>
      </x:c>
    </x:row>
    <x:row r="14" ht="64" customHeight="1">
      <x:c r="A14" s="43" t="str">
        <x:v>SOC-F10</x:v>
      </x:c>
      <x:c r="B14" s="43" t="str">
        <x:v>Coordination, Accountability &amp; Collective Capacity</x:v>
      </x:c>
      <x:c r="C14" s="43" t="str">
        <x:v>Social</x:v>
      </x:c>
      <x:c r="D14" s="43" t="str">
        <x:v>Group-level conditions that make coordinated action feasible by aligning goals, expectations, knowledge, roles, responsibility, and answerability.</x:v>
      </x:c>
      <x:c r="E14" s="43" t="str">
        <x:v>Task interdependence, goal alignment, common knowledge, expectation alignment, collective efficacy, role clarity, identifiable contributions, responsibility concentration, and peer accountability.</x:v>
      </x:c>
      <x:c r="F14" s="43" t="str">
        <x:v>Individual self-efficacy or intentions, formal compliance systems, communication-channel properties, and collective action outcomes.</x:v>
      </x:c>
      <x:c r="G14" s="43" t="str">
        <x:v>Task Interdependence; Goal Alignment; Common Knowledge Degree; Mutual Expectation Alignment; Collective Efficacy; Role Clarity</x:v>
      </x:c>
      <x:c r="H14" s="43" t="n">
        <x:v>9</x:v>
      </x:c>
    </x:row>
    <x:row r="15" ht="64" customHeight="1">
      <x:c r="A15" s="43" t="str">
        <x:v>SOC-F11</x:v>
      </x:c>
      <x:c r="B15" s="43" t="str">
        <x:v>Audience &amp; Social Evaluation</x:v>
      </x:c>
      <x:c r="C15" s="43" t="str">
        <x:v>Social</x:v>
      </x:c>
      <x:c r="D15" s="43" t="str">
        <x:v>Observable social-evaluation conditions created when other people can witness, identify, monitor, or evaluate an actor and an action.</x:v>
      </x:c>
      <x:c r="E15" s="43" t="str">
        <x:v>Audience presence and size, actor identifiability, action publicness, evaluation exposure, and peer monitoring intensity.</x:v>
      </x:c>
      <x:c r="F15" s="43" t="str">
        <x:v>Evaluation apprehension or reputational concern (Psychological), sensor surveillance (Technological), and formal audit regimes (Institutional / Structural).</x:v>
      </x:c>
      <x:c r="G15" s="43" t="str">
        <x:v>Audience Presence; Audience Size; Actor Identifiability; Action Publicness; Evaluation Exposure; Peer Monitoring Intensity</x:v>
      </x:c>
      <x:c r="H15" s="43" t="n">
        <x:v>6</x:v>
      </x:c>
    </x:row>
    <x:row r="16" ht="64" customHeight="1">
      <x:c r="A16" s="43" t="str">
        <x:v>SOC-F12</x:v>
      </x:c>
      <x:c r="B16" s="43" t="str">
        <x:v>Intergroup Contact, Boundaries &amp; Competition</x:v>
      </x:c>
      <x:c r="C16" s="43" t="str">
        <x:v>Social</x:v>
      </x:c>
      <x:c r="D16" s="43" t="str">
        <x:v>Relational conditions connecting or separating social groups and governing contact, friendship, cooperation, competition, interdependence, and relative position between them.</x:v>
      </x:c>
      <x:c r="E16" s="43" t="str">
        <x:v>Intergroup contact and friendship, cross-group ties, competition and cooperation, resource interdependence, boundary permeability, inequality, and cross-cutting memberships.</x:v>
      </x:c>
      <x:c r="F16" s="43" t="str">
        <x:v>Threat, prejudice, anxiety, identification, or outgroup evaluation (Psychological), cultural meanings, and formal segregation policies.</x:v>
      </x:c>
      <x:c r="G16" s="43" t="str">
        <x:v>Intergroup Contact Frequency; Intergroup Contact Quality; Cross-Group Friendship Prevalence; Intergroup Cooperation; Intergroup Competition Intensity; Intergroup Resource Interdependence</x:v>
      </x:c>
      <x:c r="H16" s="43" t="n">
        <x:v>10</x:v>
      </x:c>
    </x:row>
    <x:row r="17" ht="60" customHeight="1">
      <x:c r="A17"/>
      <x:c r="B17"/>
      <x:c r="C17"/>
      <x:c r="D17"/>
      <x:c r="E17"/>
      <x:c r="F17"/>
      <x:c r="G17"/>
      <x:c r="H17"/>
    </x:row>
    <x:row r="18" ht="60" customHeight="1">
      <x:c r="A18"/>
      <x:c r="B18"/>
      <x:c r="C18"/>
      <x:c r="D18"/>
      <x:c r="E18"/>
      <x:c r="F18"/>
      <x:c r="G18"/>
      <x:c r="H18"/>
    </x:row>
  </x:sheetData>
  <x:mergeCells>
    <x:mergeCell ref="A1:G1"/>
    <x:mergeCell ref="A2:G2"/>
    <x:mergeCell ref="A1:H1"/>
    <x:mergeCell ref="A2:H2"/>
  </x:mergeCells>
  <x:pageMargins left="0.7" right="0.7" top="0.75" bottom="0.75" header="0.3" footer="0.3"/>
  <x:tableParts count="1">
    <x:tablePart xmlns:r="http://schemas.openxmlformats.org/officeDocument/2006/relationships" r:id="R372ffda0adf54b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30" hidden="0" customWidth="1"/>
    <x:col min="3" max="3" width="34" hidden="0" customWidth="1"/>
    <x:col min="4" max="4" width="15" hidden="0" customWidth="1"/>
    <x:col min="5" max="5" width="34" hidden="0" customWidth="1"/>
    <x:col min="6" max="6" width="48" hidden="0" customWidth="1"/>
    <x:col min="7" max="7" width="20" hidden="0" customWidth="1"/>
    <x:col min="8" max="8" width="32" hidden="0" customWidth="1"/>
    <x:col min="9" max="9" width="36" hidden="0" customWidth="1"/>
    <x:col min="10" max="10" width="46" hidden="0" customWidth="1"/>
    <x:col min="11" max="11" width="34" hidden="0" customWidth="1"/>
    <x:col min="12" max="12" width="34" hidden="0" customWidth="1"/>
    <x:col min="13" max="13" width="38" hidden="0" customWidth="1"/>
    <x:col min="14" max="14" width="34" hidden="0" customWidth="1"/>
    <x:col min="15" max="15" width="17" hidden="0" customWidth="1"/>
    <x:col min="16" max="16" width="15" hidden="0" customWidth="1"/>
    <x:col min="17" max="17" width="26" hidden="0" customWidth="1"/>
    <x:col min="18" max="18" width="22" hidden="0" customWidth="1"/>
    <x:col min="19" max="19" width="32" hidden="0" customWidth="1"/>
    <x:col min="20" max="20" width="38" hidden="0" customWidth="1"/>
    <x:col min="21" max="21" width="40" hidden="0" customWidth="1"/>
    <x:col min="22" max="22" width="15" hidden="0" customWidth="1"/>
    <x:col min="23" max="23" width="40" hidden="0" customWidth="1"/>
    <x:col min="24" max="24" width="15" hidden="0" customWidth="1"/>
    <x:col min="25" max="25" width="48" hidden="0" customWidth="1"/>
    <x:col min="26" max="26" width="42" hidden="0" customWidth="1"/>
    <x:col min="27" max="27" width="24" hidden="0" customWidth="1"/>
  </x:cols>
  <x:sheetData>
    <x:row r="1" ht="30" customHeight="1">
      <x:c r="A1" s="70" t="str">
        <x:v>PSYWERX Social Driver Ontology — Canonical Drivers</x:v>
      </x:c>
      <x:c r="B1" s="70"/>
      <x:c r="C1" s="70"/>
      <x:c r="D1" s="70"/>
      <x:c r="E1" s="70"/>
      <x:c r="F1" s="70"/>
      <x:c r="G1" s="70"/>
      <x:c r="H1" s="70"/>
      <x:c r="I1" s="70"/>
      <x:c r="J1" s="70"/>
      <x:c r="K1" s="70"/>
      <x:c r="L1" s="70"/>
      <x:c r="M1" s="70"/>
      <x:c r="N1" s="70"/>
      <x:c r="O1" s="70"/>
      <x:c r="P1" s="70"/>
      <x:c r="Q1" s="70"/>
      <x:c r="R1" s="70"/>
      <x:c r="S1" s="70"/>
      <x:c r="T1" s="70"/>
      <x:c r="U1" s="70"/>
      <x:c r="V1" s="70"/>
      <x:c r="W1" s="70"/>
      <x:c r="X1" s="70"/>
      <x:c r="Y1" s="70"/>
      <x:c r="Z1" s="70"/>
      <x:c r="AA1" s="70"/>
    </x:row>
    <x:row r="2" ht="46" customHeight="1">
      <x:c r="A2" s="73" t="str">
        <x:v>All 27 fields follow PSYWERX Driver Ontology Standard v1.0. Driver names represent external relational, group, network, or intergroup variables; effect direction and evidence for specific edges belong in Relationships.</x:v>
      </x:c>
      <x:c r="B2" s="73"/>
      <x:c r="C2" s="73"/>
      <x:c r="D2" s="73"/>
      <x:c r="E2" s="73"/>
      <x:c r="F2" s="73"/>
      <x:c r="G2" s="73"/>
      <x:c r="H2" s="73"/>
      <x:c r="I2" s="73"/>
      <x:c r="J2" s="73"/>
      <x:c r="K2" s="73"/>
      <x:c r="L2" s="73"/>
      <x:c r="M2" s="73"/>
      <x:c r="N2" s="73"/>
      <x:c r="O2" s="73"/>
      <x:c r="P2" s="73"/>
      <x:c r="Q2" s="73"/>
      <x:c r="R2" s="73"/>
      <x:c r="S2" s="73"/>
      <x:c r="T2" s="73"/>
      <x:c r="U2" s="73"/>
      <x:c r="V2" s="73"/>
      <x:c r="W2" s="73"/>
      <x:c r="X2" s="73"/>
      <x:c r="Y2" s="73"/>
      <x:c r="Z2" s="73"/>
      <x:c r="AA2" s="73"/>
    </x:row>
    <x:row r="3" ht="8" customHeight="1">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c r="AA3" s="43"/>
    </x:row>
    <x:row r="4" ht="48" customHeight="1">
      <x:c r="A4" s="76" t="str">
        <x:v>ID</x:v>
      </x:c>
      <x:c r="B4" s="76" t="str">
        <x:v>Name</x:v>
      </x:c>
      <x:c r="C4" s="76" t="str">
        <x:v>Other Names / Aliases</x:v>
      </x:c>
      <x:c r="D4" s="76" t="str">
        <x:v>Layer</x:v>
      </x:c>
      <x:c r="E4" s="76" t="str">
        <x:v>Family</x:v>
      </x:c>
      <x:c r="F4" s="76" t="str">
        <x:v>Definition</x:v>
      </x:c>
      <x:c r="G4" s="76" t="str">
        <x:v>Data Type</x:v>
      </x:c>
      <x:c r="H4" s="76" t="str">
        <x:v>Representation / Scale</x:v>
      </x:c>
      <x:c r="I4" s="76" t="str">
        <x:v>Polarity / Direction of Interpretation</x:v>
      </x:c>
      <x:c r="J4" s="76" t="str">
        <x:v>Mechanism</x:v>
      </x:c>
      <x:c r="K4" s="76" t="str">
        <x:v>Likely Upstream Influences</x:v>
      </x:c>
      <x:c r="L4" s="76" t="str">
        <x:v>Likely Downstream Influences</x:v>
      </x:c>
      <x:c r="M4" s="76" t="str">
        <x:v>Moderators / Boundary Conditions</x:v>
      </x:c>
      <x:c r="N4" s="76" t="str">
        <x:v>Typical Interaction Candidates</x:v>
      </x:c>
      <x:c r="O4" s="76" t="str">
        <x:v>Modifiability / Malleability</x:v>
      </x:c>
      <x:c r="P4" s="76" t="str">
        <x:v>Volatility</x:v>
      </x:c>
      <x:c r="Q4" s="76" t="str">
        <x:v>Time Scale of Change</x:v>
      </x:c>
      <x:c r="R4" s="76" t="str">
        <x:v>Onset / Causal Lag</x:v>
      </x:c>
      <x:c r="S4" s="76" t="str">
        <x:v>Persistence / Recovery</x:v>
      </x:c>
      <x:c r="T4" s="76" t="str">
        <x:v>Indicators</x:v>
      </x:c>
      <x:c r="U4" s="76" t="str">
        <x:v>Measurement / Assessment Methods</x:v>
      </x:c>
      <x:c r="V4" s="76" t="str">
        <x:v>Observability</x:v>
      </x:c>
      <x:c r="W4" s="76" t="str">
        <x:v>Measurement Caveats</x:v>
      </x:c>
      <x:c r="X4" s="76" t="str">
        <x:v>Evidence Strength</x:v>
      </x:c>
      <x:c r="Y4" s="76" t="str">
        <x:v>Evidence Notes</x:v>
      </x:c>
      <x:c r="Z4" s="76" t="str">
        <x:v>Common Misinterpretations</x:v>
      </x:c>
      <x:c r="AA4" s="76" t="str">
        <x:v>Key Sources</x:v>
      </x:c>
    </x:row>
    <x:row r="5" ht="76" customHeight="1">
      <x:c r="A5" s="43" t="str">
        <x:v>SOC-001</x:v>
      </x:c>
      <x:c r="B5" s="43" t="str">
        <x:v>Behavioral Prevalence</x:v>
      </x:c>
      <x:c r="C5" s="43" t="str">
        <x:v>Observed descriptive norm; actual behavior rate; empirical norm</x:v>
      </x:c>
      <x:c r="D5" s="43" t="str">
        <x:v>Social</x:v>
      </x:c>
      <x:c r="E5" s="43" t="str">
        <x:v>Normative Climate &amp; Informal Enforcement</x:v>
      </x:c>
      <x:c r="F5" s="43" t="str">
        <x:v>The proportion of members of a specified reference group who perform a specified behavior within a defined setting and time window.</x:v>
      </x:c>
      <x:c r="G5" s="43" t="str">
        <x:v>Proportion</x:v>
      </x:c>
      <x:c r="H5" s="43" t="str">
        <x:v>0–1 or 0–100% of eligible reference-group members</x:v>
      </x:c>
      <x:c r="I5" s="43" t="str">
        <x:v>Higher values = a larger share of the reference group performs the behavior.</x:v>
      </x:c>
      <x:c r="J5" s="43" t="str">
        <x:v>Provides externally observable social evidence about what is common, feasible, or locally adaptive and can update perceived descriptive norms.</x:v>
      </x:c>
      <x:c r="K5" s="43" t="str">
        <x:v>Group members' behavior; public communication; informal leaders; repeated interaction; cultural expectations; formal rules</x:v>
      </x:c>
      <x:c r="L5" s="43" t="str">
        <x:v>Perceived norms; anticipated social approval; conformity pressure; cooperation; deviance; informal control</x:v>
      </x:c>
      <x:c r="M5" s="43" t="str">
        <x:v>Reference-group relevance, visibility, credibility, identity, observability, culture, and conflict between descriptive and injunctive signals.</x:v>
      </x:c>
      <x:c r="N5" s="43" t="str">
        <x:v>Behavioral Prevalence; Expressed Approval Prevalence; Norm Visibility; Informal Sanction Probability</x:v>
      </x:c>
      <x:c r="O5" s="43" t="str">
        <x:v>High</x:v>
      </x:c>
      <x:c r="P5" s="43" t="str">
        <x:v>Moderate</x:v>
      </x:c>
      <x:c r="Q5" s="43" t="str">
        <x:v>Hours–Days; Days–Weeks</x:v>
      </x:c>
      <x:c r="R5" s="43" t="str">
        <x:v>Minutes–Hours</x:v>
      </x:c>
      <x:c r="S5" s="43" t="str">
        <x:v>May shift quickly after salient public change but can persist through repeated reinforcement.</x:v>
      </x:c>
      <x:c r="T5" s="43" t="str">
        <x:v>Observed behavior rate; administrative prevalence; representative self-reported behavior</x:v>
      </x:c>
      <x:c r="U5" s="43" t="str">
        <x:v>Behavioral observation; representative group survey; content coding; field experiment; longitudinal prevalence tracking</x:v>
      </x:c>
      <x:c r="V5" s="43" t="str">
        <x:v>Moderate</x:v>
      </x:c>
      <x:c r="W5" s="43" t="str">
        <x:v>A measured group condition depends on the specified reference group, behavior, setting, and time window; individual perception may differ substantially.</x:v>
      </x:c>
      <x:c r="X5" s="43" t="str">
        <x:v>Strong</x:v>
      </x:c>
      <x:c r="Y5" s="43" t="str">
        <x:v>Supported by converging review, meta-analytic, experimental, network, or longitudinal evidence. Specific effects and causal interpretation remain conditional on level, context, boundary, and measurement. Representative records: SRC208; SRC209; SRC210; SRC251.</x:v>
      </x:c>
      <x:c r="Z5" s="43" t="str">
        <x:v>Treating one person's norm perception as the group's actual norm or assuming prevalent conduct is approved conduct.</x:v>
      </x:c>
      <x:c r="AA5" s="43" t="str">
        <x:v>SRC208; SRC209; SRC210; SRC251</x:v>
      </x:c>
    </x:row>
    <x:row r="6" ht="76" customHeight="1">
      <x:c r="A6" s="43" t="str">
        <x:v>SOC-002</x:v>
      </x:c>
      <x:c r="B6" s="43" t="str">
        <x:v>Expressed Approval Prevalence</x:v>
      </x:c>
      <x:c r="C6" s="43" t="str">
        <x:v>Actual injunctive norm; expressed approval rate; prescriptive climate</x:v>
      </x:c>
      <x:c r="D6" s="43" t="str">
        <x:v>Social</x:v>
      </x:c>
      <x:c r="E6" s="43" t="str">
        <x:v>Normative Climate &amp; Informal Enforcement</x:v>
      </x:c>
      <x:c r="F6" s="43" t="str">
        <x:v>The proportion of a specified reference group that publicly expresses approval of a specified behavior or standard.</x:v>
      </x:c>
      <x:c r="G6" s="43" t="str">
        <x:v>Proportion</x:v>
      </x:c>
      <x:c r="H6" s="43" t="str">
        <x:v>0–1 or 0–100% expressing approval; approved–neutral–disapproved distribution</x:v>
      </x:c>
      <x:c r="I6" s="43" t="str">
        <x:v>Higher values = a larger share publicly approves the specified behavior.</x:v>
      </x:c>
      <x:c r="J6" s="43" t="str">
        <x:v>Changes the social payoff signaled by the group and can update perceived injunctive norms and anticipated approval.</x:v>
      </x:c>
      <x:c r="K6" s="43" t="str">
        <x:v>Group members' behavior; public communication; informal leaders; repeated interaction; cultural expectations; formal rules</x:v>
      </x:c>
      <x:c r="L6" s="43" t="str">
        <x:v>Perceived norms; anticipated social approval; conformity pressure; cooperation; deviance; informal control</x:v>
      </x:c>
      <x:c r="M6" s="43" t="str">
        <x:v>Reference-group relevance, visibility, credibility, identity, observability, culture, and conflict between descriptive and injunctive signals.</x:v>
      </x:c>
      <x:c r="N6" s="43" t="str">
        <x:v>Behavioral Prevalence; Expressed Approval Prevalence; Norm Visibility; Informal Sanction Probability</x:v>
      </x:c>
      <x:c r="O6" s="43" t="str">
        <x:v>High</x:v>
      </x:c>
      <x:c r="P6" s="43" t="str">
        <x:v>Moderate</x:v>
      </x:c>
      <x:c r="Q6" s="43" t="str">
        <x:v>Hours–Days; Days–Weeks</x:v>
      </x:c>
      <x:c r="R6" s="43" t="str">
        <x:v>Minutes–Hours</x:v>
      </x:c>
      <x:c r="S6" s="43" t="str">
        <x:v>May shift quickly after salient public change but can persist through repeated reinforcement.</x:v>
      </x:c>
      <x:c r="T6" s="43" t="str">
        <x:v>Approval statements; public votes; coded endorsements; sanctioning reactions</x:v>
      </x:c>
      <x:c r="U6" s="43" t="str">
        <x:v>Behavioral observation; representative group survey; content coding; field experiment; longitudinal prevalence tracking</x:v>
      </x:c>
      <x:c r="V6" s="43" t="str">
        <x:v>Moderate</x:v>
      </x:c>
      <x:c r="W6" s="43" t="str">
        <x:v>A measured group condition depends on the specified reference group, behavior, setting, and time window; individual perception may differ substantially.</x:v>
      </x:c>
      <x:c r="X6" s="43" t="str">
        <x:v>Strong</x:v>
      </x:c>
      <x:c r="Y6" s="43" t="str">
        <x:v>Supported by converging review, meta-analytic, experimental, network, or longitudinal evidence. Specific effects and causal interpretation remain conditional on level, context, boundary, and measurement. Representative records: SRC208; SRC209; SRC251.</x:v>
      </x:c>
      <x:c r="Z6" s="43" t="str">
        <x:v>Treating one person's norm perception as the group's actual norm or assuming prevalent conduct is approved conduct.</x:v>
      </x:c>
      <x:c r="AA6" s="43" t="str">
        <x:v>SRC208; SRC209; SRC251</x:v>
      </x:c>
    </x:row>
    <x:row r="7" ht="76" customHeight="1">
      <x:c r="A7" s="43" t="str">
        <x:v>SOC-003</x:v>
      </x:c>
      <x:c r="B7" s="43" t="str">
        <x:v>Norm Consensus</x:v>
      </x:c>
      <x:c r="C7" s="43" t="str">
        <x:v>Normative agreement; agreement concentration; social consensus</x:v>
      </x:c>
      <x:c r="D7" s="43" t="str">
        <x:v>Social</x:v>
      </x:c>
      <x:c r="E7" s="43" t="str">
        <x:v>Normative Climate &amp; Informal Enforcement</x:v>
      </x:c>
      <x:c r="F7" s="43" t="str">
        <x:v>The degree of agreement among members of a reference group about what behavior is common, approved, or expected.</x:v>
      </x:c>
      <x:c r="G7" s="43" t="str">
        <x:v>Magnitude / level</x:v>
      </x:c>
      <x:c r="H7" s="43" t="str">
        <x:v>Agreement index; inverse dispersion; entropy-based concentration; low–high consensus</x:v>
      </x:c>
      <x:c r="I7" s="43" t="str">
        <x:v>Higher values = greater agreement around the specified normative position.</x:v>
      </x:c>
      <x:c r="J7" s="43" t="str">
        <x:v>Reduces ambiguity about group expectations and can strengthen the informativeness and enforceability of a normative signal.</x:v>
      </x:c>
      <x:c r="K7" s="43" t="str">
        <x:v>Group members' behavior; public communication; informal leaders; repeated interaction; cultural expectations; formal rules</x:v>
      </x:c>
      <x:c r="L7" s="43" t="str">
        <x:v>Perceived norms; anticipated social approval; conformity pressure; cooperation; deviance; informal control</x:v>
      </x:c>
      <x:c r="M7" s="43" t="str">
        <x:v>Reference-group relevance, visibility, credibility, identity, observability, culture, and conflict between descriptive and injunctive signals.</x:v>
      </x:c>
      <x:c r="N7" s="43" t="str">
        <x:v>Behavioral Prevalence; Expressed Approval Prevalence; Norm Visibility; Informal Sanction Probability</x:v>
      </x:c>
      <x:c r="O7" s="43" t="str">
        <x:v>High</x:v>
      </x:c>
      <x:c r="P7" s="43" t="str">
        <x:v>Moderate</x:v>
      </x:c>
      <x:c r="Q7" s="43" t="str">
        <x:v>Hours–Days; Days–Weeks</x:v>
      </x:c>
      <x:c r="R7" s="43" t="str">
        <x:v>Minutes–Hours</x:v>
      </x:c>
      <x:c r="S7" s="43" t="str">
        <x:v>May shift quickly after salient public change but can persist through repeated reinforcement.</x:v>
      </x:c>
      <x:c r="T7" s="43" t="str">
        <x:v>Response dispersion; agreement ratio; entropy; visible disagreement rate</x:v>
      </x:c>
      <x:c r="U7" s="43" t="str">
        <x:v>Behavioral observation; representative group survey; content coding; field experiment; longitudinal prevalence tracking</x:v>
      </x:c>
      <x:c r="V7" s="43" t="str">
        <x:v>Moderate</x:v>
      </x:c>
      <x:c r="W7" s="43" t="str">
        <x:v>A measured group condition depends on the specified reference group, behavior, setting, and time window; individual perception may differ substantially.</x:v>
      </x:c>
      <x:c r="X7" s="43" t="str">
        <x:v>Moderate</x:v>
      </x:c>
      <x:c r="Y7" s="43" t="str">
        <x:v>Scientifically defensible with substantial supporting literature, while construct boundaries, causal identification, measurement, or transferability remain context dependent. Representative records: SRC208; SRC213; SRC251.</x:v>
      </x:c>
      <x:c r="Z7" s="43" t="str">
        <x:v>Treating one person's norm perception as the group's actual norm or assuming prevalent conduct is approved conduct.</x:v>
      </x:c>
      <x:c r="AA7" s="43" t="str">
        <x:v>SRC208; SRC213; SRC251</x:v>
      </x:c>
    </x:row>
    <x:row r="8" ht="76" customHeight="1">
      <x:c r="A8" s="43" t="str">
        <x:v>SOC-004</x:v>
      </x:c>
      <x:c r="B8" s="43" t="str">
        <x:v>Norm Change Rate</x:v>
      </x:c>
      <x:c r="C8" s="43" t="str">
        <x:v>Dynamic norm; behavioral trend; normative trajectory</x:v>
      </x:c>
      <x:c r="D8" s="43" t="str">
        <x:v>Social</x:v>
      </x:c>
      <x:c r="E8" s="43" t="str">
        <x:v>Normative Climate &amp; Informal Enforcement</x:v>
      </x:c>
      <x:c r="F8" s="43" t="str">
        <x:v>The rate and direction of change over time in a group's behavioral prevalence or expressed approval for a specified practice.</x:v>
      </x:c>
      <x:c r="G8" s="43" t="str">
        <x:v>Rate</x:v>
      </x:c>
      <x:c r="H8" s="43" t="str">
        <x:v>Percentage-point change per period; slope; declining–stable–increasing</x:v>
      </x:c>
      <x:c r="I8" s="43" t="str">
        <x:v>Negative values = declining prevalence or approval; positive values = increasing prevalence or approval.</x:v>
      </x:c>
      <x:c r="J8" s="43" t="str">
        <x:v>Signals an emerging social trajectory and can shift expectations about future prevalence before a new majority is reached.</x:v>
      </x:c>
      <x:c r="K8" s="43" t="str">
        <x:v>Group members' behavior; public communication; informal leaders; repeated interaction; cultural expectations; formal rules</x:v>
      </x:c>
      <x:c r="L8" s="43" t="str">
        <x:v>Perceived norms; anticipated social approval; conformity pressure; cooperation; deviance; informal control</x:v>
      </x:c>
      <x:c r="M8" s="43" t="str">
        <x:v>Reference-group relevance, visibility, credibility, identity, observability, culture, and conflict between descriptive and injunctive signals.</x:v>
      </x:c>
      <x:c r="N8" s="43" t="str">
        <x:v>Behavioral Prevalence; Expressed Approval Prevalence; Norm Visibility; Informal Sanction Probability</x:v>
      </x:c>
      <x:c r="O8" s="43" t="str">
        <x:v>High</x:v>
      </x:c>
      <x:c r="P8" s="43" t="str">
        <x:v>Moderate</x:v>
      </x:c>
      <x:c r="Q8" s="43" t="str">
        <x:v>Hours–Days; Days–Weeks</x:v>
      </x:c>
      <x:c r="R8" s="43" t="str">
        <x:v>Minutes–Hours</x:v>
      </x:c>
      <x:c r="S8" s="43" t="str">
        <x:v>May shift quickly after salient public change but can persist through repeated reinforcement.</x:v>
      </x:c>
      <x:c r="T8" s="43" t="str">
        <x:v>Repeated prevalence estimates; longitudinal approval trend; adoption time series</x:v>
      </x:c>
      <x:c r="U8" s="43" t="str">
        <x:v>Behavioral observation; representative group survey; content coding; field experiment; longitudinal prevalence tracking</x:v>
      </x:c>
      <x:c r="V8" s="43" t="str">
        <x:v>Moderate</x:v>
      </x:c>
      <x:c r="W8" s="43" t="str">
        <x:v>A measured group condition depends on the specified reference group, behavior, setting, and time window; individual perception may differ substantially.</x:v>
      </x:c>
      <x:c r="X8" s="43" t="str">
        <x:v>Moderate</x:v>
      </x:c>
      <x:c r="Y8" s="43" t="str">
        <x:v>Scientifically defensible with substantial supporting literature, while construct boundaries, causal identification, measurement, or transferability remain context dependent. Representative records: SRC211; SRC251.</x:v>
      </x:c>
      <x:c r="Z8" s="43" t="str">
        <x:v>Treating one person's norm perception as the group's actual norm or assuming prevalent conduct is approved conduct.</x:v>
      </x:c>
      <x:c r="AA8" s="43" t="str">
        <x:v>SRC211; SRC251</x:v>
      </x:c>
    </x:row>
    <x:row r="9" ht="76" customHeight="1">
      <x:c r="A9" s="43" t="str">
        <x:v>SOC-005</x:v>
      </x:c>
      <x:c r="B9" s="43" t="str">
        <x:v>Norm Visibility</x:v>
      </x:c>
      <x:c r="C9" s="43" t="str">
        <x:v>Norm observability; visibility of group conduct; public norm expression</x:v>
      </x:c>
      <x:c r="D9" s="43" t="str">
        <x:v>Social</x:v>
      </x:c>
      <x:c r="E9" s="43" t="str">
        <x:v>Normative Climate &amp; Informal Enforcement</x:v>
      </x:c>
      <x:c r="F9" s="43" t="str">
        <x:v>The proportion or intensity of relevant group behavior and approval that is observable to members in the setting.</x:v>
      </x:c>
      <x:c r="G9" s="43" t="str">
        <x:v>Proportion</x:v>
      </x:c>
      <x:c r="H9" s="43" t="str">
        <x:v>Share of relevant acts or reactions visible; low–high visibility</x:v>
      </x:c>
      <x:c r="I9" s="43" t="str">
        <x:v>Higher values = more of the normative evidence is observable to group members.</x:v>
      </x:c>
      <x:c r="J9" s="43" t="str">
        <x:v>Determines how much actual group conduct can inform perceptions, expectations, and social learning.</x:v>
      </x:c>
      <x:c r="K9" s="43" t="str">
        <x:v>Group members' behavior; public communication; informal leaders; repeated interaction; cultural expectations; formal rules</x:v>
      </x:c>
      <x:c r="L9" s="43" t="str">
        <x:v>Perceived norms; anticipated social approval; conformity pressure; cooperation; deviance; informal control</x:v>
      </x:c>
      <x:c r="M9" s="43" t="str">
        <x:v>Reference-group relevance, visibility, credibility, identity, observability, culture, and conflict between descriptive and injunctive signals.</x:v>
      </x:c>
      <x:c r="N9" s="43" t="str">
        <x:v>Behavioral Prevalence; Expressed Approval Prevalence; Norm Visibility; Informal Sanction Probability</x:v>
      </x:c>
      <x:c r="O9" s="43" t="str">
        <x:v>High</x:v>
      </x:c>
      <x:c r="P9" s="43" t="str">
        <x:v>Moderate</x:v>
      </x:c>
      <x:c r="Q9" s="43" t="str">
        <x:v>Hours–Days; Days–Weeks</x:v>
      </x:c>
      <x:c r="R9" s="43" t="str">
        <x:v>Minutes–Hours</x:v>
      </x:c>
      <x:c r="S9" s="43" t="str">
        <x:v>May shift quickly after salient public change but can persist through repeated reinforcement.</x:v>
      </x:c>
      <x:c r="T9" s="43" t="str">
        <x:v>Public versus private acts; visible endorsement count; observation opportunity</x:v>
      </x:c>
      <x:c r="U9" s="43" t="str">
        <x:v>Behavioral observation; representative group survey; content coding; field experiment; longitudinal prevalence tracking</x:v>
      </x:c>
      <x:c r="V9" s="43" t="str">
        <x:v>Moderate</x:v>
      </x:c>
      <x:c r="W9" s="43" t="str">
        <x:v>A measured group condition depends on the specified reference group, behavior, setting, and time window; individual perception may differ substantially.</x:v>
      </x:c>
      <x:c r="X9" s="43" t="str">
        <x:v>Moderate</x:v>
      </x:c>
      <x:c r="Y9" s="43" t="str">
        <x:v>Scientifically defensible with substantial supporting literature, while construct boundaries, causal identification, measurement, or transferability remain context dependent. Representative records: SRC208; SRC210; SRC251.</x:v>
      </x:c>
      <x:c r="Z9" s="43" t="str">
        <x:v>Treating one person's norm perception as the group's actual norm or assuming prevalent conduct is approved conduct.</x:v>
      </x:c>
      <x:c r="AA9" s="43" t="str">
        <x:v>SRC208; SRC210; SRC251</x:v>
      </x:c>
    </x:row>
    <x:row r="10" ht="76" customHeight="1">
      <x:c r="A10" s="43" t="str">
        <x:v>SOC-006</x:v>
      </x:c>
      <x:c r="B10" s="43" t="str">
        <x:v>Informal Sanction Probability</x:v>
      </x:c>
      <x:c r="C10" s="43" t="str">
        <x:v>Social sanction likelihood; peer punishment probability; informal enforcement rate</x:v>
      </x:c>
      <x:c r="D10" s="43" t="str">
        <x:v>Social</x:v>
      </x:c>
      <x:c r="E10" s="43" t="str">
        <x:v>Normative Climate &amp; Informal Enforcement</x:v>
      </x:c>
      <x:c r="F10" s="43" t="str">
        <x:v>The probability that a norm violation will elicit an informal negative response from other group members.</x:v>
      </x:c>
      <x:c r="G10" s="43" t="str">
        <x:v>Proportion</x:v>
      </x:c>
      <x:c r="H10" s="43" t="str">
        <x:v>0–1 conditional probability; sanctions per observed violation</x:v>
      </x:c>
      <x:c r="I10" s="43" t="str">
        <x:v>Higher values = a greater likelihood of an informal sanction following violation.</x:v>
      </x:c>
      <x:c r="J10" s="43" t="str">
        <x:v>Raises the expected social cost of violating a group standard and helps stabilize cooperation or conformity.</x:v>
      </x:c>
      <x:c r="K10" s="43" t="str">
        <x:v>Group members' behavior; public communication; informal leaders; repeated interaction; cultural expectations; formal rules</x:v>
      </x:c>
      <x:c r="L10" s="43" t="str">
        <x:v>Perceived norms; anticipated social approval; conformity pressure; cooperation; deviance; informal control</x:v>
      </x:c>
      <x:c r="M10" s="43" t="str">
        <x:v>Reference-group relevance, visibility, credibility, identity, observability, culture, and conflict between descriptive and injunctive signals.</x:v>
      </x:c>
      <x:c r="N10" s="43" t="str">
        <x:v>Behavioral Prevalence; Expressed Approval Prevalence; Norm Visibility; Informal Sanction Probability</x:v>
      </x:c>
      <x:c r="O10" s="43" t="str">
        <x:v>High</x:v>
      </x:c>
      <x:c r="P10" s="43" t="str">
        <x:v>Moderate</x:v>
      </x:c>
      <x:c r="Q10" s="43" t="str">
        <x:v>Hours–Days; Days–Weeks</x:v>
      </x:c>
      <x:c r="R10" s="43" t="str">
        <x:v>Minutes–Hours</x:v>
      </x:c>
      <x:c r="S10" s="43" t="str">
        <x:v>May shift quickly after salient public change but can persist through repeated reinforcement.</x:v>
      </x:c>
      <x:c r="T10" s="43" t="str">
        <x:v>Sanctions per violation; peer rebuke rate; exclusion or disapproval response</x:v>
      </x:c>
      <x:c r="U10" s="43" t="str">
        <x:v>Behavioral observation; representative group survey; content coding; field experiment; longitudinal prevalence tracking</x:v>
      </x:c>
      <x:c r="V10" s="43" t="str">
        <x:v>Moderate</x:v>
      </x:c>
      <x:c r="W10" s="43" t="str">
        <x:v>A measured group condition depends on the specified reference group, behavior, setting, and time window; individual perception may differ substantially.</x:v>
      </x:c>
      <x:c r="X10" s="43" t="str">
        <x:v>Strong</x:v>
      </x:c>
      <x:c r="Y10" s="43" t="str">
        <x:v>Supported by converging review, meta-analytic, experimental, network, or longitudinal evidence. Specific effects and causal interpretation remain conditional on level, context, boundary, and measurement. Representative records: SRC225; SRC226; SRC251.</x:v>
      </x:c>
      <x:c r="Z10" s="43" t="str">
        <x:v>Treating one person's norm perception as the group's actual norm or assuming prevalent conduct is approved conduct.</x:v>
      </x:c>
      <x:c r="AA10" s="43" t="str">
        <x:v>SRC225; SRC226; SRC251</x:v>
      </x:c>
    </x:row>
    <x:row r="11" ht="76" customHeight="1">
      <x:c r="A11" s="43" t="str">
        <x:v>SOC-007</x:v>
      </x:c>
      <x:c r="B11" s="43" t="str">
        <x:v>Informal Sanction Severity</x:v>
      </x:c>
      <x:c r="C11" s="43" t="str">
        <x:v>Peer punishment magnitude; social penalty intensity</x:v>
      </x:c>
      <x:c r="D11" s="43" t="str">
        <x:v>Social</x:v>
      </x:c>
      <x:c r="E11" s="43" t="str">
        <x:v>Normative Climate &amp; Informal Enforcement</x:v>
      </x:c>
      <x:c r="F11" s="43" t="str">
        <x:v>The magnitude of the informal social cost imposed when group members respond negatively to a specified violation.</x:v>
      </x:c>
      <x:c r="G11" s="43" t="str">
        <x:v>Magnitude / level</x:v>
      </x:c>
      <x:c r="H11" s="43" t="str">
        <x:v>Cost, duration, intensity, or anchored severity of sanction</x:v>
      </x:c>
      <x:c r="I11" s="43" t="str">
        <x:v>Higher values = more severe informal consequences for a violation.</x:v>
      </x:c>
      <x:c r="J11" s="43" t="str">
        <x:v>Changes the expected cost of deviance and can deter violations, provoke resistance, or crowd out intrinsic motives depending on context.</x:v>
      </x:c>
      <x:c r="K11" s="43" t="str">
        <x:v>Group members' behavior; public communication; informal leaders; repeated interaction; cultural expectations; formal rules</x:v>
      </x:c>
      <x:c r="L11" s="43" t="str">
        <x:v>Perceived norms; anticipated social approval; conformity pressure; cooperation; deviance; informal control</x:v>
      </x:c>
      <x:c r="M11" s="43" t="str">
        <x:v>Reference-group relevance, visibility, credibility, identity, observability, culture, and conflict between descriptive and injunctive signals.</x:v>
      </x:c>
      <x:c r="N11" s="43" t="str">
        <x:v>Behavioral Prevalence; Expressed Approval Prevalence; Norm Visibility; Informal Sanction Probability</x:v>
      </x:c>
      <x:c r="O11" s="43" t="str">
        <x:v>High</x:v>
      </x:c>
      <x:c r="P11" s="43" t="str">
        <x:v>Moderate</x:v>
      </x:c>
      <x:c r="Q11" s="43" t="str">
        <x:v>Hours–Days; Days–Weeks</x:v>
      </x:c>
      <x:c r="R11" s="43" t="str">
        <x:v>Minutes–Hours</x:v>
      </x:c>
      <x:c r="S11" s="43" t="str">
        <x:v>May shift quickly after salient public change but can persist through repeated reinforcement.</x:v>
      </x:c>
      <x:c r="T11" s="43" t="str">
        <x:v>Resource loss; exclusion duration; rebuke intensity; reputational penalty</x:v>
      </x:c>
      <x:c r="U11" s="43" t="str">
        <x:v>Behavioral observation; representative group survey; content coding; field experiment; longitudinal prevalence tracking</x:v>
      </x:c>
      <x:c r="V11" s="43" t="str">
        <x:v>Moderate</x:v>
      </x:c>
      <x:c r="W11" s="43" t="str">
        <x:v>A measured group condition depends on the specified reference group, behavior, setting, and time window; individual perception may differ substantially.</x:v>
      </x:c>
      <x:c r="X11" s="43" t="str">
        <x:v>Strong</x:v>
      </x:c>
      <x:c r="Y11" s="43" t="str">
        <x:v>Supported by converging review, meta-analytic, experimental, network, or longitudinal evidence. Specific effects and causal interpretation remain conditional on level, context, boundary, and measurement. Representative records: SRC225; SRC226; SRC251.</x:v>
      </x:c>
      <x:c r="Z11" s="43" t="str">
        <x:v>Treating one person's norm perception as the group's actual norm or assuming prevalent conduct is approved conduct.</x:v>
      </x:c>
      <x:c r="AA11" s="43" t="str">
        <x:v>SRC225; SRC226; SRC251</x:v>
      </x:c>
    </x:row>
    <x:row r="12" ht="76" customHeight="1">
      <x:c r="A12" s="43" t="str">
        <x:v>SOC-008</x:v>
      </x:c>
      <x:c r="B12" s="43" t="str">
        <x:v>Informal Reward Probability</x:v>
      </x:c>
      <x:c r="C12" s="43" t="str">
        <x:v>Peer reward likelihood; social reinforcement probability; approval response rate</x:v>
      </x:c>
      <x:c r="D12" s="43" t="str">
        <x:v>Social</x:v>
      </x:c>
      <x:c r="E12" s="43" t="str">
        <x:v>Normative Climate &amp; Informal Enforcement</x:v>
      </x:c>
      <x:c r="F12" s="43" t="str">
        <x:v>The probability that behavior aligned with a group standard will receive an informal positive social response.</x:v>
      </x:c>
      <x:c r="G12" s="43" t="str">
        <x:v>Proportion</x:v>
      </x:c>
      <x:c r="H12" s="43" t="str">
        <x:v>0–1 conditional probability; rewards per conforming act</x:v>
      </x:c>
      <x:c r="I12" s="43" t="str">
        <x:v>Higher values = a greater likelihood of social reward after norm-consistent behavior.</x:v>
      </x:c>
      <x:c r="J12" s="43" t="str">
        <x:v>Increases the expected relational or reputational benefit of norm-consistent action and can reinforce its recurrence.</x:v>
      </x:c>
      <x:c r="K12" s="43" t="str">
        <x:v>Group members' behavior; public communication; informal leaders; repeated interaction; cultural expectations; formal rules</x:v>
      </x:c>
      <x:c r="L12" s="43" t="str">
        <x:v>Perceived norms; anticipated social approval; conformity pressure; cooperation; deviance; informal control</x:v>
      </x:c>
      <x:c r="M12" s="43" t="str">
        <x:v>Reference-group relevance, visibility, credibility, identity, observability, culture, and conflict between descriptive and injunctive signals.</x:v>
      </x:c>
      <x:c r="N12" s="43" t="str">
        <x:v>Behavioral Prevalence; Expressed Approval Prevalence; Norm Visibility; Informal Sanction Probability</x:v>
      </x:c>
      <x:c r="O12" s="43" t="str">
        <x:v>High</x:v>
      </x:c>
      <x:c r="P12" s="43" t="str">
        <x:v>Moderate</x:v>
      </x:c>
      <x:c r="Q12" s="43" t="str">
        <x:v>Hours–Days; Days–Weeks</x:v>
      </x:c>
      <x:c r="R12" s="43" t="str">
        <x:v>Minutes–Hours</x:v>
      </x:c>
      <x:c r="S12" s="43" t="str">
        <x:v>May shift quickly after salient public change but can persist through repeated reinforcement.</x:v>
      </x:c>
      <x:c r="T12" s="43" t="str">
        <x:v>Praise or endorsement rate; inclusion response; reputational gain event</x:v>
      </x:c>
      <x:c r="U12" s="43" t="str">
        <x:v>Behavioral observation; representative group survey; content coding; field experiment; longitudinal prevalence tracking</x:v>
      </x:c>
      <x:c r="V12" s="43" t="str">
        <x:v>Moderate</x:v>
      </x:c>
      <x:c r="W12" s="43" t="str">
        <x:v>A measured group condition depends on the specified reference group, behavior, setting, and time window; individual perception may differ substantially.</x:v>
      </x:c>
      <x:c r="X12" s="43" t="str">
        <x:v>Moderate</x:v>
      </x:c>
      <x:c r="Y12" s="43" t="str">
        <x:v>Scientifically defensible with substantial supporting literature, while construct boundaries, causal identification, measurement, or transferability remain context dependent. Representative records: SRC224; SRC225; SRC251.</x:v>
      </x:c>
      <x:c r="Z12" s="43" t="str">
        <x:v>Treating one person's norm perception as the group's actual norm or assuming prevalent conduct is approved conduct.</x:v>
      </x:c>
      <x:c r="AA12" s="43" t="str">
        <x:v>SRC224; SRC225; SRC251</x:v>
      </x:c>
    </x:row>
    <x:row r="13" ht="76" customHeight="1">
      <x:c r="A13" s="43" t="str">
        <x:v>SOC-009</x:v>
      </x:c>
      <x:c r="B13" s="43" t="str">
        <x:v>Majority Signal Size</x:v>
      </x:c>
      <x:c r="C13" s="43" t="str">
        <x:v>Majority size; number supporting; social proof magnitude</x:v>
      </x:c>
      <x:c r="D13" s="43" t="str">
        <x:v>Social</x:v>
      </x:c>
      <x:c r="E13" s="43" t="str">
        <x:v>Direct Social Influence Conditions</x:v>
      </x:c>
      <x:c r="F13" s="43" t="str">
        <x:v>The number or proportion of observable others who display the same specified judgment or behavior in an influence setting.</x:v>
      </x:c>
      <x:c r="G13" s="43" t="str">
        <x:v>Proportion</x:v>
      </x:c>
      <x:c r="H13" s="43" t="str">
        <x:v>Count or proportion of visible others displaying the target response</x:v>
      </x:c>
      <x:c r="I13" s="43" t="str">
        <x:v>Higher values = a larger visible majority supporting the response.</x:v>
      </x:c>
      <x:c r="J13" s="43" t="str">
        <x:v>Increases the amount of convergent social evidence and potential social pressure available to an actor.</x:v>
      </x:c>
      <x:c r="K13" s="43" t="str">
        <x:v>Group composition; communication opportunities; peer selection; status structure; visibility of others' behavior</x:v>
      </x:c>
      <x:c r="L13" s="43" t="str">
        <x:v>Attention to social evidence; perceived norms; belief updating; conformity; resistance; modeled action</x:v>
      </x:c>
      <x:c r="M13" s="43" t="str">
        <x:v>Task ambiguity, private versus public response, age, culture, group identification, expertise, unanimity, and relationship stakes.</x:v>
      </x:c>
      <x:c r="N13" s="43" t="str">
        <x:v>Majority Signal Size; Majority Unanimity; Minority Consistency; Social Model Similarity</x:v>
      </x:c>
      <x:c r="O13" s="43" t="str">
        <x:v>High</x:v>
      </x:c>
      <x:c r="P13" s="43" t="str">
        <x:v>High</x:v>
      </x:c>
      <x:c r="Q13" s="43" t="str">
        <x:v>Seconds–Minutes; Minutes–Hours</x:v>
      </x:c>
      <x:c r="R13" s="43" t="str">
        <x:v>Seconds–Minutes</x:v>
      </x:c>
      <x:c r="S13" s="43" t="str">
        <x:v>Usually episode-bound; repeated exposure can accumulate into longer-lived effects.</x:v>
      </x:c>
      <x:c r="T13" s="43" t="str">
        <x:v>Supporting-person count; majority proportion; visible endorsement tally</x:v>
      </x:c>
      <x:c r="U13" s="43" t="str">
        <x:v>Controlled group task; structured observation; exposure log; sociometric nomination; field experiment</x:v>
      </x:c>
      <x:c r="V13" s="43" t="str">
        <x:v>High</x:v>
      </x:c>
      <x:c r="W13" s="43" t="str">
        <x:v>Presence and signal properties do not prove influence; selection, shared context, and preexisting similarity must be addressed.</x:v>
      </x:c>
      <x:c r="X13" s="43" t="str">
        <x:v>Strong</x:v>
      </x:c>
      <x:c r="Y13" s="43" t="str">
        <x:v>Supported by converging review, meta-analytic, experimental, network, or longitudinal evidence. Specific effects and causal interpretation remain conditional on level, context, boundary, and measurement. Representative records: SRC213; SRC252.</x:v>
      </x:c>
      <x:c r="Z13" s="43" t="str">
        <x:v>Representing conformity, imitation, or persuasion as a stable social variable rather than an outcome or mechanism under specified conditions.</x:v>
      </x:c>
      <x:c r="AA13" s="43" t="str">
        <x:v>SRC213; SRC252</x:v>
      </x:c>
    </x:row>
    <x:row r="14" ht="76" customHeight="1">
      <x:c r="A14" s="43" t="str">
        <x:v>SOC-010</x:v>
      </x:c>
      <x:c r="B14" s="43" t="str">
        <x:v>Majority Unanimity</x:v>
      </x:c>
      <x:c r="C14" s="43" t="str">
        <x:v>Consensus of majority; absence of ally; unanimity</x:v>
      </x:c>
      <x:c r="D14" s="43" t="str">
        <x:v>Social</x:v>
      </x:c>
      <x:c r="E14" s="43" t="str">
        <x:v>Direct Social Influence Conditions</x:v>
      </x:c>
      <x:c r="F14" s="43" t="str">
        <x:v>The proportion of the observable majority that gives an identical response without a visible dissenter.</x:v>
      </x:c>
      <x:c r="G14" s="43" t="str">
        <x:v>Proportion</x:v>
      </x:c>
      <x:c r="H14" s="43" t="str">
        <x:v>0–1 agreement proportion; unanimous versus nonunanimous</x:v>
      </x:c>
      <x:c r="I14" s="43" t="str">
        <x:v>Higher values = greater unanimity among the observed majority.</x:v>
      </x:c>
      <x:c r="J14" s="43" t="str">
        <x:v>Removes alternative social validation and can increase the diagnosticity or social cost of departing from the majority.</x:v>
      </x:c>
      <x:c r="K14" s="43" t="str">
        <x:v>Group composition; communication opportunities; peer selection; status structure; visibility of others' behavior</x:v>
      </x:c>
      <x:c r="L14" s="43" t="str">
        <x:v>Attention to social evidence; perceived norms; belief updating; conformity; resistance; modeled action</x:v>
      </x:c>
      <x:c r="M14" s="43" t="str">
        <x:v>Task ambiguity, private versus public response, age, culture, group identification, expertise, unanimity, and relationship stakes.</x:v>
      </x:c>
      <x:c r="N14" s="43" t="str">
        <x:v>Majority Signal Size; Majority Unanimity; Minority Consistency; Social Model Similarity</x:v>
      </x:c>
      <x:c r="O14" s="43" t="str">
        <x:v>High</x:v>
      </x:c>
      <x:c r="P14" s="43" t="str">
        <x:v>High</x:v>
      </x:c>
      <x:c r="Q14" s="43" t="str">
        <x:v>Seconds–Minutes; Minutes–Hours</x:v>
      </x:c>
      <x:c r="R14" s="43" t="str">
        <x:v>Seconds–Minutes</x:v>
      </x:c>
      <x:c r="S14" s="43" t="str">
        <x:v>Usually episode-bound; repeated exposure can accumulate into longer-lived effects.</x:v>
      </x:c>
      <x:c r="T14" s="43" t="str">
        <x:v>Dissenter count; response dispersion; unanimous-majority indicator</x:v>
      </x:c>
      <x:c r="U14" s="43" t="str">
        <x:v>Controlled group task; structured observation; exposure log; sociometric nomination; field experiment</x:v>
      </x:c>
      <x:c r="V14" s="43" t="str">
        <x:v>High</x:v>
      </x:c>
      <x:c r="W14" s="43" t="str">
        <x:v>Presence and signal properties do not prove influence; selection, shared context, and preexisting similarity must be addressed.</x:v>
      </x:c>
      <x:c r="X14" s="43" t="str">
        <x:v>Strong</x:v>
      </x:c>
      <x:c r="Y14" s="43" t="str">
        <x:v>Supported by converging review, meta-analytic, experimental, network, or longitudinal evidence. Specific effects and causal interpretation remain conditional on level, context, boundary, and measurement. Representative records: SRC213; SRC252.</x:v>
      </x:c>
      <x:c r="Z14" s="43" t="str">
        <x:v>Representing conformity, imitation, or persuasion as a stable social variable rather than an outcome or mechanism under specified conditions.</x:v>
      </x:c>
      <x:c r="AA14" s="43" t="str">
        <x:v>SRC213; SRC252</x:v>
      </x:c>
    </x:row>
    <x:row r="15" ht="76" customHeight="1">
      <x:c r="A15" s="43" t="str">
        <x:v>SOC-011</x:v>
      </x:c>
      <x:c r="B15" s="43" t="str">
        <x:v>Minority Consistency</x:v>
      </x:c>
      <x:c r="C15" s="43" t="str">
        <x:v>Consistent minority position; behavioral consistency of dissent</x:v>
      </x:c>
      <x:c r="D15" s="43" t="str">
        <x:v>Social</x:v>
      </x:c>
      <x:c r="E15" s="43" t="str">
        <x:v>Direct Social Influence Conditions</x:v>
      </x:c>
      <x:c r="F15" s="43" t="str">
        <x:v>The degree to which a numerical minority maintains the same position across members, occasions, and influence attempts.</x:v>
      </x:c>
      <x:c r="G15" s="43" t="str">
        <x:v>Proportion</x:v>
      </x:c>
      <x:c r="H15" s="43" t="str">
        <x:v>Proportion of consistent responses; cross-occasion stability; low–high consistency</x:v>
      </x:c>
      <x:c r="I15" s="43" t="str">
        <x:v>Higher values = greater synchronic and diachronic consistency of the minority position.</x:v>
      </x:c>
      <x:c r="J15" s="43" t="str">
        <x:v>Signals commitment and coherence, prompting attention and deeper consideration even when public compliance is limited.</x:v>
      </x:c>
      <x:c r="K15" s="43" t="str">
        <x:v>Group composition; communication opportunities; peer selection; status structure; visibility of others' behavior</x:v>
      </x:c>
      <x:c r="L15" s="43" t="str">
        <x:v>Attention to social evidence; perceived norms; belief updating; conformity; resistance; modeled action</x:v>
      </x:c>
      <x:c r="M15" s="43" t="str">
        <x:v>Task ambiguity, private versus public response, age, culture, group identification, expertise, unanimity, and relationship stakes.</x:v>
      </x:c>
      <x:c r="N15" s="43" t="str">
        <x:v>Majority Signal Size; Majority Unanimity; Minority Consistency; Social Model Similarity</x:v>
      </x:c>
      <x:c r="O15" s="43" t="str">
        <x:v>High</x:v>
      </x:c>
      <x:c r="P15" s="43" t="str">
        <x:v>High</x:v>
      </x:c>
      <x:c r="Q15" s="43" t="str">
        <x:v>Seconds–Minutes; Minutes–Hours</x:v>
      </x:c>
      <x:c r="R15" s="43" t="str">
        <x:v>Seconds–Minutes</x:v>
      </x:c>
      <x:c r="S15" s="43" t="str">
        <x:v>Usually episode-bound; repeated exposure can accumulate into longer-lived effects.</x:v>
      </x:c>
      <x:c r="T15" s="43" t="str">
        <x:v>Message consistency; cross-member agreement; persistence across rounds</x:v>
      </x:c>
      <x:c r="U15" s="43" t="str">
        <x:v>Controlled group task; structured observation; exposure log; sociometric nomination; field experiment</x:v>
      </x:c>
      <x:c r="V15" s="43" t="str">
        <x:v>High</x:v>
      </x:c>
      <x:c r="W15" s="43" t="str">
        <x:v>Presence and signal properties do not prove influence; selection, shared context, and preexisting similarity must be addressed.</x:v>
      </x:c>
      <x:c r="X15" s="43" t="str">
        <x:v>Strong</x:v>
      </x:c>
      <x:c r="Y15" s="43" t="str">
        <x:v>Supported by converging review, meta-analytic, experimental, network, or longitudinal evidence. Specific effects and causal interpretation remain conditional on level, context, boundary, and measurement. Representative records: SRC214; SRC252.</x:v>
      </x:c>
      <x:c r="Z15" s="43" t="str">
        <x:v>Representing conformity, imitation, or persuasion as a stable social variable rather than an outcome or mechanism under specified conditions.</x:v>
      </x:c>
      <x:c r="AA15" s="43" t="str">
        <x:v>SRC214; SRC252</x:v>
      </x:c>
    </x:row>
    <x:row r="16" ht="76" customHeight="1">
      <x:c r="A16" s="43" t="str">
        <x:v>SOC-012</x:v>
      </x:c>
      <x:c r="B16" s="43" t="str">
        <x:v>Peer Presence</x:v>
      </x:c>
      <x:c r="C16" s="43" t="str">
        <x:v>Coactor presence; peer co-presence; others present</x:v>
      </x:c>
      <x:c r="D16" s="43" t="str">
        <x:v>Social</x:v>
      </x:c>
      <x:c r="E16" s="43" t="str">
        <x:v>Direct Social Influence Conditions</x:v>
      </x:c>
      <x:c r="F16" s="43" t="str">
        <x:v>The number of socially relevant peers physically or virtually present during a specified decision or performance episode.</x:v>
      </x:c>
      <x:c r="G16" s="43" t="str">
        <x:v>Count</x:v>
      </x:c>
      <x:c r="H16" s="43" t="str">
        <x:v>Number of present peers; alone versus one or more peers</x:v>
      </x:c>
      <x:c r="I16" s="43" t="str">
        <x:v>Higher values = more relevant peers are present during the episode.</x:v>
      </x:c>
      <x:c r="J16" s="43" t="str">
        <x:v>Changes available social cues, evaluation potential, arousal, and opportunities for influence or shared action.</x:v>
      </x:c>
      <x:c r="K16" s="43" t="str">
        <x:v>Group composition; communication opportunities; peer selection; status structure; visibility of others' behavior</x:v>
      </x:c>
      <x:c r="L16" s="43" t="str">
        <x:v>Attention to social evidence; perceived norms; belief updating; conformity; resistance; modeled action</x:v>
      </x:c>
      <x:c r="M16" s="43" t="str">
        <x:v>Task ambiguity, private versus public response, age, culture, group identification, expertise, unanimity, and relationship stakes.</x:v>
      </x:c>
      <x:c r="N16" s="43" t="str">
        <x:v>Majority Signal Size; Majority Unanimity; Minority Consistency; Social Model Similarity</x:v>
      </x:c>
      <x:c r="O16" s="43" t="str">
        <x:v>High</x:v>
      </x:c>
      <x:c r="P16" s="43" t="str">
        <x:v>High</x:v>
      </x:c>
      <x:c r="Q16" s="43" t="str">
        <x:v>Seconds–Minutes; Minutes–Hours</x:v>
      </x:c>
      <x:c r="R16" s="43" t="str">
        <x:v>Seconds–Minutes</x:v>
      </x:c>
      <x:c r="S16" s="43" t="str">
        <x:v>Usually episode-bound; repeated exposure can accumulate into longer-lived effects.</x:v>
      </x:c>
      <x:c r="T16" s="43" t="str">
        <x:v>Attendance roster; co-presence log; visible participant count</x:v>
      </x:c>
      <x:c r="U16" s="43" t="str">
        <x:v>Controlled group task; structured observation; exposure log; sociometric nomination; field experiment</x:v>
      </x:c>
      <x:c r="V16" s="43" t="str">
        <x:v>High</x:v>
      </x:c>
      <x:c r="W16" s="43" t="str">
        <x:v>Presence and signal properties do not prove influence; selection, shared context, and preexisting similarity must be addressed.</x:v>
      </x:c>
      <x:c r="X16" s="43" t="str">
        <x:v>Strong</x:v>
      </x:c>
      <x:c r="Y16" s="43" t="str">
        <x:v>Supported by converging review, meta-analytic, experimental, network, or longitudinal evidence. Specific effects and causal interpretation remain conditional on level, context, boundary, and measurement. Representative records: SRC215; SRC241.</x:v>
      </x:c>
      <x:c r="Z16" s="43" t="str">
        <x:v>Representing conformity, imitation, or persuasion as a stable social variable rather than an outcome or mechanism under specified conditions.</x:v>
      </x:c>
      <x:c r="AA16" s="43" t="str">
        <x:v>SRC215; SRC241</x:v>
      </x:c>
    </x:row>
    <x:row r="17" ht="76" customHeight="1">
      <x:c r="A17" s="43" t="str">
        <x:v>SOC-013</x:v>
      </x:c>
      <x:c r="B17" s="43" t="str">
        <x:v>Peer Behavior Exposure Frequency</x:v>
      </x:c>
      <x:c r="C17" s="43" t="str">
        <x:v>Peer influence exposure; modeled-behavior exposure; peer-behavior dose</x:v>
      </x:c>
      <x:c r="D17" s="43" t="str">
        <x:v>Social</x:v>
      </x:c>
      <x:c r="E17" s="43" t="str">
        <x:v>Direct Social Influence Conditions</x:v>
      </x:c>
      <x:c r="F17" s="43" t="str">
        <x:v>The number of occasions on which an actor observes relevant peers perform a specified behavior per unit time.</x:v>
      </x:c>
      <x:c r="G17" s="43" t="str">
        <x:v>Frequency</x:v>
      </x:c>
      <x:c r="H17" s="43" t="str">
        <x:v>Exposures per hour, day, week, or decision episode</x:v>
      </x:c>
      <x:c r="I17" s="43" t="str">
        <x:v>Higher values = more frequent observation of the specified peer behavior.</x:v>
      </x:c>
      <x:c r="J17" s="43" t="str">
        <x:v>Provides repeated social evidence and modeled action that can update expectations, norms, and learned response tendencies.</x:v>
      </x:c>
      <x:c r="K17" s="43" t="str">
        <x:v>Group composition; communication opportunities; peer selection; status structure; visibility of others' behavior</x:v>
      </x:c>
      <x:c r="L17" s="43" t="str">
        <x:v>Attention to social evidence; perceived norms; belief updating; conformity; resistance; modeled action</x:v>
      </x:c>
      <x:c r="M17" s="43" t="str">
        <x:v>Task ambiguity, private versus public response, age, culture, group identification, expertise, unanimity, and relationship stakes.</x:v>
      </x:c>
      <x:c r="N17" s="43" t="str">
        <x:v>Majority Signal Size; Majority Unanimity; Minority Consistency; Social Model Similarity</x:v>
      </x:c>
      <x:c r="O17" s="43" t="str">
        <x:v>High</x:v>
      </x:c>
      <x:c r="P17" s="43" t="str">
        <x:v>High</x:v>
      </x:c>
      <x:c r="Q17" s="43" t="str">
        <x:v>Seconds–Minutes; Minutes–Hours</x:v>
      </x:c>
      <x:c r="R17" s="43" t="str">
        <x:v>Seconds–Minutes</x:v>
      </x:c>
      <x:c r="S17" s="43" t="str">
        <x:v>Usually episode-bound; repeated exposure can accumulate into longer-lived effects.</x:v>
      </x:c>
      <x:c r="T17" s="43" t="str">
        <x:v>Observed peer acts; exposure diary; time-stamped interaction trace</x:v>
      </x:c>
      <x:c r="U17" s="43" t="str">
        <x:v>Controlled group task; structured observation; exposure log; sociometric nomination; field experiment</x:v>
      </x:c>
      <x:c r="V17" s="43" t="str">
        <x:v>High</x:v>
      </x:c>
      <x:c r="W17" s="43" t="str">
        <x:v>Presence and signal properties do not prove influence; selection, shared context, and preexisting similarity must be addressed.</x:v>
      </x:c>
      <x:c r="X17" s="43" t="str">
        <x:v>Strong</x:v>
      </x:c>
      <x:c r="Y17" s="43" t="str">
        <x:v>Supported by converging review, meta-analytic, experimental, network, or longitudinal evidence. Specific effects and causal interpretation remain conditional on level, context, boundary, and measurement. Representative records: SRC215; SRC236; SRC237.</x:v>
      </x:c>
      <x:c r="Z17" s="43" t="str">
        <x:v>Representing conformity, imitation, or persuasion as a stable social variable rather than an outcome or mechanism under specified conditions.</x:v>
      </x:c>
      <x:c r="AA17" s="43" t="str">
        <x:v>SRC215; SRC236; SRC237</x:v>
      </x:c>
    </x:row>
    <x:row r="18" ht="76" customHeight="1">
      <x:c r="A18" s="43" t="str">
        <x:v>SOC-014</x:v>
      </x:c>
      <x:c r="B18" s="43" t="str">
        <x:v>Social Model Similarity</x:v>
      </x:c>
      <x:c r="C18" s="43" t="str">
        <x:v>Model–observer similarity; peer similarity; referent similarity</x:v>
      </x:c>
      <x:c r="D18" s="43" t="str">
        <x:v>Social</x:v>
      </x:c>
      <x:c r="E18" s="43" t="str">
        <x:v>Direct Social Influence Conditions</x:v>
      </x:c>
      <x:c r="F18" s="43" t="str">
        <x:v>The degree of observable similarity between an actor and a social model on characteristics relevant to the behavior or setting.</x:v>
      </x:c>
      <x:c r="G18" s="43" t="str">
        <x:v>Magnitude / level</x:v>
      </x:c>
      <x:c r="H18" s="43" t="str">
        <x:v>Low–high similarity; matched-attribute proportion; multidimensional distance</x:v>
      </x:c>
      <x:c r="I18" s="43" t="str">
        <x:v>Higher values = greater model–observer similarity on the specified relevant attributes.</x:v>
      </x:c>
      <x:c r="J18" s="43" t="str">
        <x:v>Can increase the model's relevance as evidence about feasibility, consequences, and locally appropriate conduct.</x:v>
      </x:c>
      <x:c r="K18" s="43" t="str">
        <x:v>Group composition; communication opportunities; peer selection; status structure; visibility of others' behavior</x:v>
      </x:c>
      <x:c r="L18" s="43" t="str">
        <x:v>Attention to social evidence; perceived norms; belief updating; conformity; resistance; modeled action</x:v>
      </x:c>
      <x:c r="M18" s="43" t="str">
        <x:v>Task ambiguity, private versus public response, age, culture, group identification, expertise, unanimity, and relationship stakes.</x:v>
      </x:c>
      <x:c r="N18" s="43" t="str">
        <x:v>Majority Signal Size; Majority Unanimity; Minority Consistency; Social Model Similarity</x:v>
      </x:c>
      <x:c r="O18" s="43" t="str">
        <x:v>High</x:v>
      </x:c>
      <x:c r="P18" s="43" t="str">
        <x:v>High</x:v>
      </x:c>
      <x:c r="Q18" s="43" t="str">
        <x:v>Seconds–Minutes; Minutes–Hours</x:v>
      </x:c>
      <x:c r="R18" s="43" t="str">
        <x:v>Seconds–Minutes</x:v>
      </x:c>
      <x:c r="S18" s="43" t="str">
        <x:v>Usually episode-bound; repeated exposure can accumulate into longer-lived effects.</x:v>
      </x:c>
      <x:c r="T18" s="43" t="str">
        <x:v>Shared role; age or experience match; matched-group membership; attribute distance</x:v>
      </x:c>
      <x:c r="U18" s="43" t="str">
        <x:v>Controlled group task; structured observation; exposure log; sociometric nomination; field experiment</x:v>
      </x:c>
      <x:c r="V18" s="43" t="str">
        <x:v>High</x:v>
      </x:c>
      <x:c r="W18" s="43" t="str">
        <x:v>Presence and signal properties do not prove influence; selection, shared context, and preexisting similarity must be addressed.</x:v>
      </x:c>
      <x:c r="X18" s="43" t="str">
        <x:v>Moderate</x:v>
      </x:c>
      <x:c r="Y18" s="43" t="str">
        <x:v>Scientifically defensible with substantial supporting literature, while construct boundaries, causal identification, measurement, or transferability remain context dependent. Representative records: SRC210; SRC216; SRC252.</x:v>
      </x:c>
      <x:c r="Z18" s="43" t="str">
        <x:v>Representing conformity, imitation, or persuasion as a stable social variable rather than an outcome or mechanism under specified conditions.</x:v>
      </x:c>
      <x:c r="AA18" s="43" t="str">
        <x:v>SRC210; SRC216; SRC252</x:v>
      </x:c>
    </x:row>
    <x:row r="19" ht="76" customHeight="1">
      <x:c r="A19" s="43" t="str">
        <x:v>SOC-015</x:v>
      </x:c>
      <x:c r="B19" s="43" t="str">
        <x:v>Social Model Status</x:v>
      </x:c>
      <x:c r="C19" s="43" t="str">
        <x:v>Model prestige; referent status; demonstrator rank</x:v>
      </x:c>
      <x:c r="D19" s="43" t="str">
        <x:v>Social</x:v>
      </x:c>
      <x:c r="E19" s="43" t="str">
        <x:v>Direct Social Influence Conditions</x:v>
      </x:c>
      <x:c r="F19" s="43" t="str">
        <x:v>The socially conferred rank or prestige of a person whose behavior is available for observation in a specified setting.</x:v>
      </x:c>
      <x:c r="G19" s="43" t="str">
        <x:v>Ordinal</x:v>
      </x:c>
      <x:c r="H19" s="43" t="str">
        <x:v>Rank category; peer–leader–elite; sociometric status score</x:v>
      </x:c>
      <x:c r="I19" s="43" t="str">
        <x:v>Higher values = greater socially conferred status of the observed model.</x:v>
      </x:c>
      <x:c r="J19" s="43" t="str">
        <x:v>Changes attention, deference, expected success, and the weight assigned to the model's conduct.</x:v>
      </x:c>
      <x:c r="K19" s="43" t="str">
        <x:v>Group composition; communication opportunities; peer selection; status structure; visibility of others' behavior</x:v>
      </x:c>
      <x:c r="L19" s="43" t="str">
        <x:v>Attention to social evidence; perceived norms; belief updating; conformity; resistance; modeled action</x:v>
      </x:c>
      <x:c r="M19" s="43" t="str">
        <x:v>Task ambiguity, private versus public response, age, culture, group identification, expertise, unanimity, and relationship stakes.</x:v>
      </x:c>
      <x:c r="N19" s="43" t="str">
        <x:v>Majority Signal Size; Majority Unanimity; Minority Consistency; Social Model Similarity</x:v>
      </x:c>
      <x:c r="O19" s="43" t="str">
        <x:v>High</x:v>
      </x:c>
      <x:c r="P19" s="43" t="str">
        <x:v>High</x:v>
      </x:c>
      <x:c r="Q19" s="43" t="str">
        <x:v>Seconds–Minutes; Minutes–Hours</x:v>
      </x:c>
      <x:c r="R19" s="43" t="str">
        <x:v>Seconds–Minutes</x:v>
      </x:c>
      <x:c r="S19" s="43" t="str">
        <x:v>Usually episode-bound; repeated exposure can accumulate into longer-lived effects.</x:v>
      </x:c>
      <x:c r="T19" s="43" t="str">
        <x:v>Sociometric rank; deference nominations; role prestige; attention share</x:v>
      </x:c>
      <x:c r="U19" s="43" t="str">
        <x:v>Controlled group task; structured observation; exposure log; sociometric nomination; field experiment</x:v>
      </x:c>
      <x:c r="V19" s="43" t="str">
        <x:v>High</x:v>
      </x:c>
      <x:c r="W19" s="43" t="str">
        <x:v>Presence and signal properties do not prove influence; selection, shared context, and preexisting similarity must be addressed.</x:v>
      </x:c>
      <x:c r="X19" s="43" t="str">
        <x:v>Moderate</x:v>
      </x:c>
      <x:c r="Y19" s="43" t="str">
        <x:v>Scientifically defensible with substantial supporting literature, while construct boundaries, causal identification, measurement, or transferability remain context dependent. Representative records: SRC227; SRC228; SRC250.</x:v>
      </x:c>
      <x:c r="Z19" s="43" t="str">
        <x:v>Representing conformity, imitation, or persuasion as a stable social variable rather than an outcome or mechanism under specified conditions.</x:v>
      </x:c>
      <x:c r="AA19" s="43" t="str">
        <x:v>SRC227; SRC228; SRC250</x:v>
      </x:c>
    </x:row>
    <x:row r="20" ht="76" customHeight="1">
      <x:c r="A20" s="43" t="str">
        <x:v>SOC-016</x:v>
      </x:c>
      <x:c r="B20" s="43" t="str">
        <x:v>Interaction Frequency</x:v>
      </x:c>
      <x:c r="C20" s="43" t="str">
        <x:v>Contact frequency; interaction rate; encounter frequency</x:v>
      </x:c>
      <x:c r="D20" s="43" t="str">
        <x:v>Social</x:v>
      </x:c>
      <x:c r="E20" s="43" t="str">
        <x:v>Interaction &amp; Relational Embeddedness</x:v>
      </x:c>
      <x:c r="F20" s="43" t="str">
        <x:v>The number of direct interactions between specified actors per unit time.</x:v>
      </x:c>
      <x:c r="G20" s="43" t="str">
        <x:v>Frequency</x:v>
      </x:c>
      <x:c r="H20" s="43" t="str">
        <x:v>Interactions per day, week, or month; ordinal frequency category</x:v>
      </x:c>
      <x:c r="I20" s="43" t="str">
        <x:v>Higher values = more frequent direct interaction.</x:v>
      </x:c>
      <x:c r="J20" s="43" t="str">
        <x:v>Creates opportunities for exchange, influence, support, coordination, and relationship updating.</x:v>
      </x:c>
      <x:c r="K20" s="43" t="str">
        <x:v>Opportunity for contact; shared activities; residential or organizational structure; mobility; communication access</x:v>
      </x:c>
      <x:c r="L20" s="43" t="str">
        <x:v>Information access; support exchange; obligation; trust calibration; coordination; conflict; network formation</x:v>
      </x:c>
      <x:c r="M20" s="43" t="str">
        <x:v>Relationship type, life stage, culture, communication mode, geographic distance, conflict, and asymmetry in reported ties.</x:v>
      </x:c>
      <x:c r="N20" s="43" t="str">
        <x:v>Interaction Frequency; Relational Closeness; Tie Multiplexity; Relationship Stability</x:v>
      </x:c>
      <x:c r="O20" s="43" t="str">
        <x:v>Moderate</x:v>
      </x:c>
      <x:c r="P20" s="43" t="str">
        <x:v>Low</x:v>
      </x:c>
      <x:c r="Q20" s="43" t="str">
        <x:v>Weeks–Months; Months–Years</x:v>
      </x:c>
      <x:c r="R20" s="43" t="str">
        <x:v>Hours–Days</x:v>
      </x:c>
      <x:c r="S20" s="43" t="str">
        <x:v>Often persistent and path-dependent; dissolution or repair may take weeks to years.</x:v>
      </x:c>
      <x:c r="T20" s="43" t="str">
        <x:v>Communication events; meeting count; encounter diary; call or message events</x:v>
      </x:c>
      <x:c r="U20" s="43" t="str">
        <x:v>Dyadic roster; communication diary; interaction trace; reciprocal tie report; longitudinal network assessment</x:v>
      </x:c>
      <x:c r="V20" s="43" t="str">
        <x:v>Moderate</x:v>
      </x:c>
      <x:c r="W20" s="43" t="str">
        <x:v>Tie dimensions are not interchangeable, and self-reported closeness, observed contact, and mutual recognition may diverge.</x:v>
      </x:c>
      <x:c r="X20" s="43" t="str">
        <x:v>Strong</x:v>
      </x:c>
      <x:c r="Y20" s="43" t="str">
        <x:v>Supported by converging review, meta-analytic, experimental, network, or longitudinal evidence. Specific effects and causal interpretation remain conditional on level, context, boundary, and measurement. Representative records: SRC222; SRC234; SRC254.</x:v>
      </x:c>
      <x:c r="Z20" s="43" t="str">
        <x:v>Collapsing tie strength into a single universal score without specifying which relational dimensions are measured.</x:v>
      </x:c>
      <x:c r="AA20" s="43" t="str">
        <x:v>SRC222; SRC234; SRC254</x:v>
      </x:c>
    </x:row>
    <x:row r="21" ht="76" customHeight="1">
      <x:c r="A21" s="43" t="str">
        <x:v>SOC-017</x:v>
      </x:c>
      <x:c r="B21" s="43" t="str">
        <x:v>Interaction Duration</x:v>
      </x:c>
      <x:c r="C21" s="43" t="str">
        <x:v>Contact duration; time together; interaction time</x:v>
      </x:c>
      <x:c r="D21" s="43" t="str">
        <x:v>Social</x:v>
      </x:c>
      <x:c r="E21" s="43" t="str">
        <x:v>Interaction &amp; Relational Embeddedness</x:v>
      </x:c>
      <x:c r="F21" s="43" t="str">
        <x:v>The total or average time specified actors spend in direct interaction during a defined period.</x:v>
      </x:c>
      <x:c r="G21" s="43" t="str">
        <x:v>Duration</x:v>
      </x:c>
      <x:c r="H21" s="43" t="str">
        <x:v>Minutes or hours per interaction or period; duration distribution</x:v>
      </x:c>
      <x:c r="I21" s="43" t="str">
        <x:v>Higher values = more time spent in direct interaction.</x:v>
      </x:c>
      <x:c r="J21" s="43" t="str">
        <x:v>Increases opportunity for information exchange, mutual adaptation, support, and relational investment.</x:v>
      </x:c>
      <x:c r="K21" s="43" t="str">
        <x:v>Opportunity for contact; shared activities; residential or organizational structure; mobility; communication access</x:v>
      </x:c>
      <x:c r="L21" s="43" t="str">
        <x:v>Information access; support exchange; obligation; trust calibration; coordination; conflict; network formation</x:v>
      </x:c>
      <x:c r="M21" s="43" t="str">
        <x:v>Relationship type, life stage, culture, communication mode, geographic distance, conflict, and asymmetry in reported ties.</x:v>
      </x:c>
      <x:c r="N21" s="43" t="str">
        <x:v>Interaction Frequency; Relational Closeness; Tie Multiplexity; Relationship Stability</x:v>
      </x:c>
      <x:c r="O21" s="43" t="str">
        <x:v>Moderate</x:v>
      </x:c>
      <x:c r="P21" s="43" t="str">
        <x:v>Low</x:v>
      </x:c>
      <x:c r="Q21" s="43" t="str">
        <x:v>Weeks–Months; Months–Years</x:v>
      </x:c>
      <x:c r="R21" s="43" t="str">
        <x:v>Hours–Days</x:v>
      </x:c>
      <x:c r="S21" s="43" t="str">
        <x:v>Often persistent and path-dependent; dissolution or repair may take weeks to years.</x:v>
      </x:c>
      <x:c r="T21" s="43" t="str">
        <x:v>Meeting duration; co-presence time; call length; interaction diary</x:v>
      </x:c>
      <x:c r="U21" s="43" t="str">
        <x:v>Dyadic roster; communication diary; interaction trace; reciprocal tie report; longitudinal network assessment</x:v>
      </x:c>
      <x:c r="V21" s="43" t="str">
        <x:v>Moderate</x:v>
      </x:c>
      <x:c r="W21" s="43" t="str">
        <x:v>Tie dimensions are not interchangeable, and self-reported closeness, observed contact, and mutual recognition may diverge.</x:v>
      </x:c>
      <x:c r="X21" s="43" t="str">
        <x:v>Moderate</x:v>
      </x:c>
      <x:c r="Y21" s="43" t="str">
        <x:v>Scientifically defensible with substantial supporting literature, while construct boundaries, causal identification, measurement, or transferability remain context dependent. Representative records: SRC222; SRC254.</x:v>
      </x:c>
      <x:c r="Z21" s="43" t="str">
        <x:v>Collapsing tie strength into a single universal score without specifying which relational dimensions are measured.</x:v>
      </x:c>
      <x:c r="AA21" s="43" t="str">
        <x:v>SRC222; SRC254</x:v>
      </x:c>
    </x:row>
    <x:row r="22" ht="76" customHeight="1">
      <x:c r="A22" s="43" t="str">
        <x:v>SOC-018</x:v>
      </x:c>
      <x:c r="B22" s="43" t="str">
        <x:v>Relationship Duration</x:v>
      </x:c>
      <x:c r="C22" s="43" t="str">
        <x:v>Tie age; relationship tenure; length of association</x:v>
      </x:c>
      <x:c r="D22" s="43" t="str">
        <x:v>Social</x:v>
      </x:c>
      <x:c r="E22" s="43" t="str">
        <x:v>Interaction &amp; Relational Embeddedness</x:v>
      </x:c>
      <x:c r="F22" s="43" t="str">
        <x:v>The elapsed time since a specified interpersonal relationship began or became active.</x:v>
      </x:c>
      <x:c r="G22" s="43" t="str">
        <x:v>Duration</x:v>
      </x:c>
      <x:c r="H22" s="43" t="str">
        <x:v>Days, months, or years since tie formation</x:v>
      </x:c>
      <x:c r="I22" s="43" t="str">
        <x:v>Higher values = a longer-standing relationship.</x:v>
      </x:c>
      <x:c r="J22" s="43" t="str">
        <x:v>Permits accumulation of shared history, expectations, reputation, and routines that shape coordination and obligation.</x:v>
      </x:c>
      <x:c r="K22" s="43" t="str">
        <x:v>Opportunity for contact; shared activities; residential or organizational structure; mobility; communication access</x:v>
      </x:c>
      <x:c r="L22" s="43" t="str">
        <x:v>Information access; support exchange; obligation; trust calibration; coordination; conflict; network formation</x:v>
      </x:c>
      <x:c r="M22" s="43" t="str">
        <x:v>Relationship type, life stage, culture, communication mode, geographic distance, conflict, and asymmetry in reported ties.</x:v>
      </x:c>
      <x:c r="N22" s="43" t="str">
        <x:v>Interaction Frequency; Relational Closeness; Tie Multiplexity; Relationship Stability</x:v>
      </x:c>
      <x:c r="O22" s="43" t="str">
        <x:v>Moderate</x:v>
      </x:c>
      <x:c r="P22" s="43" t="str">
        <x:v>Low</x:v>
      </x:c>
      <x:c r="Q22" s="43" t="str">
        <x:v>Weeks–Months; Months–Years</x:v>
      </x:c>
      <x:c r="R22" s="43" t="str">
        <x:v>Hours–Days</x:v>
      </x:c>
      <x:c r="S22" s="43" t="str">
        <x:v>Often persistent and path-dependent; dissolution or repair may take weeks to years.</x:v>
      </x:c>
      <x:c r="T22" s="43" t="str">
        <x:v>Tie start date; shared-tenure record; retrospective relationship age</x:v>
      </x:c>
      <x:c r="U22" s="43" t="str">
        <x:v>Dyadic roster; communication diary; interaction trace; reciprocal tie report; longitudinal network assessment</x:v>
      </x:c>
      <x:c r="V22" s="43" t="str">
        <x:v>Moderate</x:v>
      </x:c>
      <x:c r="W22" s="43" t="str">
        <x:v>Tie dimensions are not interchangeable, and self-reported closeness, observed contact, and mutual recognition may diverge.</x:v>
      </x:c>
      <x:c r="X22" s="43" t="str">
        <x:v>Moderate</x:v>
      </x:c>
      <x:c r="Y22" s="43" t="str">
        <x:v>Scientifically defensible with substantial supporting literature, while construct boundaries, causal identification, measurement, or transferability remain context dependent. Representative records: SRC223; SRC234; SRC254.</x:v>
      </x:c>
      <x:c r="Z22" s="43" t="str">
        <x:v>Collapsing tie strength into a single universal score without specifying which relational dimensions are measured.</x:v>
      </x:c>
      <x:c r="AA22" s="43" t="str">
        <x:v>SRC223; SRC234; SRC254</x:v>
      </x:c>
    </x:row>
    <x:row r="23" ht="76" customHeight="1">
      <x:c r="A23" s="43" t="str">
        <x:v>SOC-019</x:v>
      </x:c>
      <x:c r="B23" s="43" t="str">
        <x:v>Relational Closeness</x:v>
      </x:c>
      <x:c r="C23" s="43" t="str">
        <x:v>Tie closeness; interpersonal closeness; relational intimacy</x:v>
      </x:c>
      <x:c r="D23" s="43" t="str">
        <x:v>Social</x:v>
      </x:c>
      <x:c r="E23" s="43" t="str">
        <x:v>Interaction &amp; Relational Embeddedness</x:v>
      </x:c>
      <x:c r="F23" s="43" t="str">
        <x:v>The degree of mutual closeness instantiated in a dyadic relationship through shared time, disclosure, interdependence, and reciprocal recognition.</x:v>
      </x:c>
      <x:c r="G23" s="43" t="str">
        <x:v>Magnitude / level</x:v>
      </x:c>
      <x:c r="H23" s="43" t="str">
        <x:v>Low–high closeness; reciprocal closeness score; multidimensional tie-strength profile</x:v>
      </x:c>
      <x:c r="I23" s="43" t="str">
        <x:v>Higher values = a closer and more interdependent relationship.</x:v>
      </x:c>
      <x:c r="J23" s="43" t="str">
        <x:v>Raises the stakes and credibility of social exchange and can strengthen support, influence, obligation, and behavioral transmission.</x:v>
      </x:c>
      <x:c r="K23" s="43" t="str">
        <x:v>Opportunity for contact; shared activities; residential or organizational structure; mobility; communication access</x:v>
      </x:c>
      <x:c r="L23" s="43" t="str">
        <x:v>Information access; support exchange; obligation; trust calibration; coordination; conflict; network formation</x:v>
      </x:c>
      <x:c r="M23" s="43" t="str">
        <x:v>Relationship type, life stage, culture, communication mode, geographic distance, conflict, and asymmetry in reported ties.</x:v>
      </x:c>
      <x:c r="N23" s="43" t="str">
        <x:v>Interaction Frequency; Relational Closeness; Tie Multiplexity; Relationship Stability</x:v>
      </x:c>
      <x:c r="O23" s="43" t="str">
        <x:v>Moderate</x:v>
      </x:c>
      <x:c r="P23" s="43" t="str">
        <x:v>Low</x:v>
      </x:c>
      <x:c r="Q23" s="43" t="str">
        <x:v>Weeks–Months; Months–Years</x:v>
      </x:c>
      <x:c r="R23" s="43" t="str">
        <x:v>Hours–Days</x:v>
      </x:c>
      <x:c r="S23" s="43" t="str">
        <x:v>Often persistent and path-dependent; dissolution or repair may take weeks to years.</x:v>
      </x:c>
      <x:c r="T23" s="43" t="str">
        <x:v>Reciprocal closeness ratings; disclosure depth; joint activity; shared-history indicators</x:v>
      </x:c>
      <x:c r="U23" s="43" t="str">
        <x:v>Dyadic roster; communication diary; interaction trace; reciprocal tie report; longitudinal network assessment</x:v>
      </x:c>
      <x:c r="V23" s="43" t="str">
        <x:v>Moderate</x:v>
      </x:c>
      <x:c r="W23" s="43" t="str">
        <x:v>Tie dimensions are not interchangeable, and self-reported closeness, observed contact, and mutual recognition may diverge.</x:v>
      </x:c>
      <x:c r="X23" s="43" t="str">
        <x:v>Moderate</x:v>
      </x:c>
      <x:c r="Y23" s="43" t="str">
        <x:v>Scientifically defensible with substantial supporting literature, while construct boundaries, causal identification, measurement, or transferability remain context dependent. Representative records: SRC234; SRC237; SRC254.</x:v>
      </x:c>
      <x:c r="Z23" s="43" t="str">
        <x:v>Collapsing tie strength into a single universal score without specifying which relational dimensions are measured.</x:v>
      </x:c>
      <x:c r="AA23" s="43" t="str">
        <x:v>SRC234; SRC237; SRC254</x:v>
      </x:c>
    </x:row>
    <x:row r="24" ht="76" customHeight="1">
      <x:c r="A24" s="43" t="str">
        <x:v>SOC-020</x:v>
      </x:c>
      <x:c r="B24" s="43" t="str">
        <x:v>Tie Reciprocity</x:v>
      </x:c>
      <x:c r="C24" s="43" t="str">
        <x:v>Mutuality of tie; reciprocal relationship; directed-tie symmetry</x:v>
      </x:c>
      <x:c r="D24" s="43" t="str">
        <x:v>Social</x:v>
      </x:c>
      <x:c r="E24" s="43" t="str">
        <x:v>Interaction &amp; Relational Embeddedness</x:v>
      </x:c>
      <x:c r="F24" s="43" t="str">
        <x:v>The extent to which a specified directed social tie or exchange is returned by the other actor.</x:v>
      </x:c>
      <x:c r="G24" s="43" t="str">
        <x:v>Proportion</x:v>
      </x:c>
      <x:c r="H24" s="43" t="str">
        <x:v>Reciprocated-tie indicator; proportion of mutual nominations; exchange-return ratio</x:v>
      </x:c>
      <x:c r="I24" s="43" t="str">
        <x:v>Higher values = greater mutuality of the specified tie or exchange.</x:v>
      </x:c>
      <x:c r="J24" s="43" t="str">
        <x:v>Creates mutual obligation and reduces one-sided uncertainty, supporting stable exchange and coordination.</x:v>
      </x:c>
      <x:c r="K24" s="43" t="str">
        <x:v>Opportunity for contact; shared activities; residential or organizational structure; mobility; communication access</x:v>
      </x:c>
      <x:c r="L24" s="43" t="str">
        <x:v>Information access; support exchange; obligation; trust calibration; coordination; conflict; network formation</x:v>
      </x:c>
      <x:c r="M24" s="43" t="str">
        <x:v>Relationship type, life stage, culture, communication mode, geographic distance, conflict, and asymmetry in reported ties.</x:v>
      </x:c>
      <x:c r="N24" s="43" t="str">
        <x:v>Interaction Frequency; Relational Closeness; Tie Multiplexity; Relationship Stability</x:v>
      </x:c>
      <x:c r="O24" s="43" t="str">
        <x:v>Moderate</x:v>
      </x:c>
      <x:c r="P24" s="43" t="str">
        <x:v>Low</x:v>
      </x:c>
      <x:c r="Q24" s="43" t="str">
        <x:v>Weeks–Months; Months–Years</x:v>
      </x:c>
      <x:c r="R24" s="43" t="str">
        <x:v>Hours–Days</x:v>
      </x:c>
      <x:c r="S24" s="43" t="str">
        <x:v>Often persistent and path-dependent; dissolution or repair may take weeks to years.</x:v>
      </x:c>
      <x:c r="T24" s="43" t="str">
        <x:v>Mutual nominations; bidirectional contact; returned support or exchange</x:v>
      </x:c>
      <x:c r="U24" s="43" t="str">
        <x:v>Dyadic roster; communication diary; interaction trace; reciprocal tie report; longitudinal network assessment</x:v>
      </x:c>
      <x:c r="V24" s="43" t="str">
        <x:v>Moderate</x:v>
      </x:c>
      <x:c r="W24" s="43" t="str">
        <x:v>Tie dimensions are not interchangeable, and self-reported closeness, observed contact, and mutual recognition may diverge.</x:v>
      </x:c>
      <x:c r="X24" s="43" t="str">
        <x:v>Strong</x:v>
      </x:c>
      <x:c r="Y24" s="43" t="str">
        <x:v>Supported by converging review, meta-analytic, experimental, network, or longitudinal evidence. Specific effects and causal interpretation remain conditional on level, context, boundary, and measurement. Representative records: SRC224; SRC248; SRC254.</x:v>
      </x:c>
      <x:c r="Z24" s="43" t="str">
        <x:v>Collapsing tie strength into a single universal score without specifying which relational dimensions are measured.</x:v>
      </x:c>
      <x:c r="AA24" s="43" t="str">
        <x:v>SRC224; SRC248; SRC254</x:v>
      </x:c>
    </x:row>
    <x:row r="25" ht="76" customHeight="1">
      <x:c r="A25" s="43" t="str">
        <x:v>SOC-021</x:v>
      </x:c>
      <x:c r="B25" s="43" t="str">
        <x:v>Tie Multiplexity</x:v>
      </x:c>
      <x:c r="C25" s="43" t="str">
        <x:v>Multiplex relationship; role overlap; multidomain tie</x:v>
      </x:c>
      <x:c r="D25" s="43" t="str">
        <x:v>Social</x:v>
      </x:c>
      <x:c r="E25" s="43" t="str">
        <x:v>Interaction &amp; Relational Embeddedness</x:v>
      </x:c>
      <x:c r="F25" s="43" t="str">
        <x:v>The number of distinct relational domains connecting the same pair of actors, such as friendship, advice, kinship, work, or support.</x:v>
      </x:c>
      <x:c r="G25" s="43" t="str">
        <x:v>Count</x:v>
      </x:c>
      <x:c r="H25" s="43" t="str">
        <x:v>Count of distinct tie types; multiplexity index</x:v>
      </x:c>
      <x:c r="I25" s="43" t="str">
        <x:v>Higher values = more relational domains connect the dyad.</x:v>
      </x:c>
      <x:c r="J25" s="43" t="str">
        <x:v>Combines channels of access and obligation, increasing embeddedness while potentially adding role conflict.</x:v>
      </x:c>
      <x:c r="K25" s="43" t="str">
        <x:v>Opportunity for contact; shared activities; residential or organizational structure; mobility; communication access</x:v>
      </x:c>
      <x:c r="L25" s="43" t="str">
        <x:v>Information access; support exchange; obligation; trust calibration; coordination; conflict; network formation</x:v>
      </x:c>
      <x:c r="M25" s="43" t="str">
        <x:v>Relationship type, life stage, culture, communication mode, geographic distance, conflict, and asymmetry in reported ties.</x:v>
      </x:c>
      <x:c r="N25" s="43" t="str">
        <x:v>Interaction Frequency; Relational Closeness; Tie Multiplexity; Relationship Stability</x:v>
      </x:c>
      <x:c r="O25" s="43" t="str">
        <x:v>Moderate</x:v>
      </x:c>
      <x:c r="P25" s="43" t="str">
        <x:v>Low</x:v>
      </x:c>
      <x:c r="Q25" s="43" t="str">
        <x:v>Weeks–Months; Months–Years</x:v>
      </x:c>
      <x:c r="R25" s="43" t="str">
        <x:v>Hours–Days</x:v>
      </x:c>
      <x:c r="S25" s="43" t="str">
        <x:v>Often persistent and path-dependent; dissolution or repair may take weeks to years.</x:v>
      </x:c>
      <x:c r="T25" s="43" t="str">
        <x:v>Number of shared roles; tie-type roster; multiplex network layers</x:v>
      </x:c>
      <x:c r="U25" s="43" t="str">
        <x:v>Dyadic roster; communication diary; interaction trace; reciprocal tie report; longitudinal network assessment</x:v>
      </x:c>
      <x:c r="V25" s="43" t="str">
        <x:v>Moderate</x:v>
      </x:c>
      <x:c r="W25" s="43" t="str">
        <x:v>Tie dimensions are not interchangeable, and self-reported closeness, observed contact, and mutual recognition may diverge.</x:v>
      </x:c>
      <x:c r="X25" s="43" t="str">
        <x:v>Moderate</x:v>
      </x:c>
      <x:c r="Y25" s="43" t="str">
        <x:v>Scientifically defensible with substantial supporting literature, while construct boundaries, causal identification, measurement, or transferability remain context dependent. Representative records: SRC254; SRC234.</x:v>
      </x:c>
      <x:c r="Z25" s="43" t="str">
        <x:v>Collapsing tie strength into a single universal score without specifying which relational dimensions are measured.</x:v>
      </x:c>
      <x:c r="AA25" s="43" t="str">
        <x:v>SRC254; SRC234</x:v>
      </x:c>
    </x:row>
    <x:row r="26" ht="76" customHeight="1">
      <x:c r="A26" s="43" t="str">
        <x:v>SOC-022</x:v>
      </x:c>
      <x:c r="B26" s="43" t="str">
        <x:v>Relationship Stability</x:v>
      </x:c>
      <x:c r="C26" s="43" t="str">
        <x:v>Tie persistence; relationship continuity; tie durability</x:v>
      </x:c>
      <x:c r="D26" s="43" t="str">
        <x:v>Social</x:v>
      </x:c>
      <x:c r="E26" s="43" t="str">
        <x:v>Interaction &amp; Relational Embeddedness</x:v>
      </x:c>
      <x:c r="F26" s="43" t="str">
        <x:v>The probability that a specified interpersonal tie remains active across a defined future interval.</x:v>
      </x:c>
      <x:c r="G26" s="43" t="str">
        <x:v>Proportion</x:v>
      </x:c>
      <x:c r="H26" s="43" t="str">
        <x:v>Tie-survival probability; retained-versus-dissolved; persistence rate</x:v>
      </x:c>
      <x:c r="I26" s="43" t="str">
        <x:v>Higher values = greater likelihood that the relationship persists.</x:v>
      </x:c>
      <x:c r="J26" s="43" t="str">
        <x:v>Supports reliable expectations and investment by extending the anticipated horizon of interaction.</x:v>
      </x:c>
      <x:c r="K26" s="43" t="str">
        <x:v>Opportunity for contact; shared activities; residential or organizational structure; mobility; communication access</x:v>
      </x:c>
      <x:c r="L26" s="43" t="str">
        <x:v>Information access; support exchange; obligation; trust calibration; coordination; conflict; network formation</x:v>
      </x:c>
      <x:c r="M26" s="43" t="str">
        <x:v>Relationship type, life stage, culture, communication mode, geographic distance, conflict, and asymmetry in reported ties.</x:v>
      </x:c>
      <x:c r="N26" s="43" t="str">
        <x:v>Interaction Frequency; Relational Closeness; Tie Multiplexity; Relationship Stability</x:v>
      </x:c>
      <x:c r="O26" s="43" t="str">
        <x:v>Moderate</x:v>
      </x:c>
      <x:c r="P26" s="43" t="str">
        <x:v>Low</x:v>
      </x:c>
      <x:c r="Q26" s="43" t="str">
        <x:v>Weeks–Months; Months–Years</x:v>
      </x:c>
      <x:c r="R26" s="43" t="str">
        <x:v>Hours–Days</x:v>
      </x:c>
      <x:c r="S26" s="43" t="str">
        <x:v>Often persistent and path-dependent; dissolution or repair may take weeks to years.</x:v>
      </x:c>
      <x:c r="T26" s="43" t="str">
        <x:v>Tie survival; contact continuity; dissolution or reactivation events</x:v>
      </x:c>
      <x:c r="U26" s="43" t="str">
        <x:v>Dyadic roster; communication diary; interaction trace; reciprocal tie report; longitudinal network assessment</x:v>
      </x:c>
      <x:c r="V26" s="43" t="str">
        <x:v>Moderate</x:v>
      </x:c>
      <x:c r="W26" s="43" t="str">
        <x:v>Tie dimensions are not interchangeable, and self-reported closeness, observed contact, and mutual recognition may diverge.</x:v>
      </x:c>
      <x:c r="X26" s="43" t="str">
        <x:v>Moderate</x:v>
      </x:c>
      <x:c r="Y26" s="43" t="str">
        <x:v>Scientifically defensible with substantial supporting literature, while construct boundaries, causal identification, measurement, or transferability remain context dependent. Representative records: SRC223; SRC234; SRC254.</x:v>
      </x:c>
      <x:c r="Z26" s="43" t="str">
        <x:v>Collapsing tie strength into a single universal score without specifying which relational dimensions are measured.</x:v>
      </x:c>
      <x:c r="AA26" s="43" t="str">
        <x:v>SRC223; SRC234; SRC254</x:v>
      </x:c>
    </x:row>
    <x:row r="27" ht="76" customHeight="1">
      <x:c r="A27" s="43" t="str">
        <x:v>SOC-023</x:v>
      </x:c>
      <x:c r="B27" s="43" t="str">
        <x:v>Negative Interaction Frequency</x:v>
      </x:c>
      <x:c r="C27" s="43" t="str">
        <x:v>Relational conflict frequency; aversive interaction rate; negative tie activation</x:v>
      </x:c>
      <x:c r="D27" s="43" t="str">
        <x:v>Social</x:v>
      </x:c>
      <x:c r="E27" s="43" t="str">
        <x:v>Interaction &amp; Relational Embeddedness</x:v>
      </x:c>
      <x:c r="F27" s="43" t="str">
        <x:v>The number of hostile, undermining, rejecting, or otherwise aversive interactions between specified actors per unit time.</x:v>
      </x:c>
      <x:c r="G27" s="43" t="str">
        <x:v>Frequency</x:v>
      </x:c>
      <x:c r="H27" s="43" t="str">
        <x:v>Negative interactions per day, week, or episode</x:v>
      </x:c>
      <x:c r="I27" s="43" t="str">
        <x:v>Higher values = more frequent negative interpersonal interaction.</x:v>
      </x:c>
      <x:c r="J27" s="43" t="str">
        <x:v>Updates threat and trust appraisals, consumes relational resources, and can alter avoidance, retaliation, and coalition behavior.</x:v>
      </x:c>
      <x:c r="K27" s="43" t="str">
        <x:v>Opportunity for contact; shared activities; residential or organizational structure; mobility; communication access</x:v>
      </x:c>
      <x:c r="L27" s="43" t="str">
        <x:v>Information access; support exchange; obligation; trust calibration; coordination; conflict; network formation</x:v>
      </x:c>
      <x:c r="M27" s="43" t="str">
        <x:v>Relationship type, life stage, culture, communication mode, geographic distance, conflict, and asymmetry in reported ties.</x:v>
      </x:c>
      <x:c r="N27" s="43" t="str">
        <x:v>Interaction Frequency; Relational Closeness; Tie Multiplexity; Relationship Stability</x:v>
      </x:c>
      <x:c r="O27" s="43" t="str">
        <x:v>Moderate</x:v>
      </x:c>
      <x:c r="P27" s="43" t="str">
        <x:v>Low</x:v>
      </x:c>
      <x:c r="Q27" s="43" t="str">
        <x:v>Weeks–Months; Months–Years</x:v>
      </x:c>
      <x:c r="R27" s="43" t="str">
        <x:v>Hours–Days</x:v>
      </x:c>
      <x:c r="S27" s="43" t="str">
        <x:v>Often persistent and path-dependent; dissolution or repair may take weeks to years.</x:v>
      </x:c>
      <x:c r="T27" s="43" t="str">
        <x:v>Conflict episodes; hostile messages; undermining events; observer-coded negativity</x:v>
      </x:c>
      <x:c r="U27" s="43" t="str">
        <x:v>Dyadic roster; communication diary; interaction trace; reciprocal tie report; longitudinal network assessment</x:v>
      </x:c>
      <x:c r="V27" s="43" t="str">
        <x:v>Moderate</x:v>
      </x:c>
      <x:c r="W27" s="43" t="str">
        <x:v>Tie dimensions are not interchangeable, and self-reported closeness, observed contact, and mutual recognition may diverge.</x:v>
      </x:c>
      <x:c r="X27" s="43" t="str">
        <x:v>Moderate</x:v>
      </x:c>
      <x:c r="Y27" s="43" t="str">
        <x:v>Scientifically defensible with substantial supporting literature, while construct boundaries, causal identification, measurement, or transferability remain context dependent. Representative records: SRC220; SRC254.</x:v>
      </x:c>
      <x:c r="Z27" s="43" t="str">
        <x:v>Collapsing tie strength into a single universal score without specifying which relational dimensions are measured.</x:v>
      </x:c>
      <x:c r="AA27" s="43" t="str">
        <x:v>SRC220; SRC254</x:v>
      </x:c>
    </x:row>
    <x:row r="28" ht="76" customHeight="1">
      <x:c r="A28" s="43" t="str">
        <x:v>SOC-024</x:v>
      </x:c>
      <x:c r="B28" s="43" t="str">
        <x:v>Personal Network Size</x:v>
      </x:c>
      <x:c r="C28" s="43" t="str">
        <x:v>Degree of social connectedness; ego-network size; number of social ties</x:v>
      </x:c>
      <x:c r="D28" s="43" t="str">
        <x:v>Social</x:v>
      </x:c>
      <x:c r="E28" s="43" t="str">
        <x:v>Inclusion, Support &amp; Social Integration</x:v>
      </x:c>
      <x:c r="F28" s="43" t="str">
        <x:v>The number of distinct active social contacts connected to an actor under a specified tie definition and time window.</x:v>
      </x:c>
      <x:c r="G28" s="43" t="str">
        <x:v>Count</x:v>
      </x:c>
      <x:c r="H28" s="43" t="str">
        <x:v>Number of active alters in a defined personal network</x:v>
      </x:c>
      <x:c r="I28" s="43" t="str">
        <x:v>Higher values = more active social contacts under the stated tie definition.</x:v>
      </x:c>
      <x:c r="J28" s="43" t="str">
        <x:v>Expands potential access to information, support, opportunities, and social influence while changing coordination costs.</x:v>
      </x:c>
      <x:c r="K28" s="43" t="str">
        <x:v>Network opportunity; relationship history; mobility; caregiving arrangements; group participation; exclusionary conduct</x:v>
      </x:c>
      <x:c r="L28" s="43" t="str">
        <x:v>Perceived support; belonging; stress buffering; help seeking; participation; withdrawal; health-relevant pathways</x:v>
      </x:c>
      <x:c r="M28" s="43" t="str">
        <x:v>Need–support match, relationship quality, reciprocity, timing, stigma, culture, chronicity, and whether support was sought.</x:v>
      </x:c>
      <x:c r="N28" s="43" t="str">
        <x:v>Support Provider Availability; Received Instrumental Support; Inclusion Event Frequency; Social Isolation Degree</x:v>
      </x:c>
      <x:c r="O28" s="43" t="str">
        <x:v>Moderate</x:v>
      </x:c>
      <x:c r="P28" s="43" t="str">
        <x:v>Moderate</x:v>
      </x:c>
      <x:c r="Q28" s="43" t="str">
        <x:v>Hours–Days; Days–Weeks</x:v>
      </x:c>
      <x:c r="R28" s="43" t="str">
        <x:v>Minutes–Hours</x:v>
      </x:c>
      <x:c r="S28" s="43" t="str">
        <x:v>Transactions are episodic; access and integration can persist for months or years.</x:v>
      </x:c>
      <x:c r="T28" s="43" t="str">
        <x:v>Named contacts; active-contact count; communication partners</x:v>
      </x:c>
      <x:c r="U28" s="43" t="str">
        <x:v>Network inventory; received-support checklist; interaction diary; administrative participation record; sociometric nomination</x:v>
      </x:c>
      <x:c r="V28" s="43" t="str">
        <x:v>Moderate</x:v>
      </x:c>
      <x:c r="W28" s="43" t="str">
        <x:v>Structural integration, received support, perceived support, loneliness, and belonging are related but distinct constructs.</x:v>
      </x:c>
      <x:c r="X28" s="43" t="str">
        <x:v>Strong</x:v>
      </x:c>
      <x:c r="Y28" s="43" t="str">
        <x:v>Supported by converging review, meta-analytic, experimental, network, or longitudinal evidence. Specific effects and causal interpretation remain conditional on level, context, boundary, and measurement. Representative records: SRC222; SRC256; SRC254.</x:v>
      </x:c>
      <x:c r="Z28" s="43" t="str">
        <x:v>Using perceived support as evidence that aid was received, or equating living alone with loneliness or complete social isolation.</x:v>
      </x:c>
      <x:c r="AA28" s="43" t="str">
        <x:v>SRC222; SRC256; SRC254</x:v>
      </x:c>
    </x:row>
    <x:row r="29" ht="76" customHeight="1">
      <x:c r="A29" s="43" t="str">
        <x:v>SOC-025</x:v>
      </x:c>
      <x:c r="B29" s="43" t="str">
        <x:v>Social Integration Breadth</x:v>
      </x:c>
      <x:c r="C29" s="43" t="str">
        <x:v>Social integration; role diversity; network participation breadth</x:v>
      </x:c>
      <x:c r="D29" s="43" t="str">
        <x:v>Social</x:v>
      </x:c>
      <x:c r="E29" s="43" t="str">
        <x:v>Inclusion, Support &amp; Social Integration</x:v>
      </x:c>
      <x:c r="F29" s="43" t="str">
        <x:v>The number or diversity of distinct social roles, groups, and relationship domains in which an actor participates.</x:v>
      </x:c>
      <x:c r="G29" s="43" t="str">
        <x:v>Multidimensional</x:v>
      </x:c>
      <x:c r="H29" s="43" t="str">
        <x:v>Count and diversity of roles or groups; integration index</x:v>
      </x:c>
      <x:c r="I29" s="43" t="str">
        <x:v>Higher values = broader participation across distinct social domains.</x:v>
      </x:c>
      <x:c r="J29" s="43" t="str">
        <x:v>Provides multiple channels of support, identity, information, and opportunity and reduces dependence on any single tie or group.</x:v>
      </x:c>
      <x:c r="K29" s="43" t="str">
        <x:v>Network opportunity; relationship history; mobility; caregiving arrangements; group participation; exclusionary conduct</x:v>
      </x:c>
      <x:c r="L29" s="43" t="str">
        <x:v>Perceived support; belonging; stress buffering; help seeking; participation; withdrawal; health-relevant pathways</x:v>
      </x:c>
      <x:c r="M29" s="43" t="str">
        <x:v>Need–support match, relationship quality, reciprocity, timing, stigma, culture, chronicity, and whether support was sought.</x:v>
      </x:c>
      <x:c r="N29" s="43" t="str">
        <x:v>Support Provider Availability; Received Instrumental Support; Inclusion Event Frequency; Social Isolation Degree</x:v>
      </x:c>
      <x:c r="O29" s="43" t="str">
        <x:v>Moderate</x:v>
      </x:c>
      <x:c r="P29" s="43" t="str">
        <x:v>Moderate</x:v>
      </x:c>
      <x:c r="Q29" s="43" t="str">
        <x:v>Hours–Days; Days–Weeks</x:v>
      </x:c>
      <x:c r="R29" s="43" t="str">
        <x:v>Minutes–Hours</x:v>
      </x:c>
      <x:c r="S29" s="43" t="str">
        <x:v>Transactions are episodic; access and integration can persist for months or years.</x:v>
      </x:c>
      <x:c r="T29" s="43" t="str">
        <x:v>Group memberships; role count; participation diversity; contact domains</x:v>
      </x:c>
      <x:c r="U29" s="43" t="str">
        <x:v>Network inventory; received-support checklist; interaction diary; administrative participation record; sociometric nomination</x:v>
      </x:c>
      <x:c r="V29" s="43" t="str">
        <x:v>Moderate</x:v>
      </x:c>
      <x:c r="W29" s="43" t="str">
        <x:v>Structural integration, received support, perceived support, loneliness, and belonging are related but distinct constructs.</x:v>
      </x:c>
      <x:c r="X29" s="43" t="str">
        <x:v>Strong</x:v>
      </x:c>
      <x:c r="Y29" s="43" t="str">
        <x:v>Supported by converging review, meta-analytic, experimental, network, or longitudinal evidence. Specific effects and causal interpretation remain conditional on level, context, boundary, and measurement. Representative records: SRC222; SRC256; SRC272.</x:v>
      </x:c>
      <x:c r="Z29" s="43" t="str">
        <x:v>Using perceived support as evidence that aid was received, or equating living alone with loneliness or complete social isolation.</x:v>
      </x:c>
      <x:c r="AA29" s="43" t="str">
        <x:v>SRC222; SRC256; SRC272</x:v>
      </x:c>
    </x:row>
    <x:row r="30" ht="76" customHeight="1">
      <x:c r="A30" s="43" t="str">
        <x:v>SOC-026</x:v>
      </x:c>
      <x:c r="B30" s="43" t="str">
        <x:v>Support Provider Availability</x:v>
      </x:c>
      <x:c r="C30" s="43" t="str">
        <x:v>Available helpers; enacted-support capacity; support network availability</x:v>
      </x:c>
      <x:c r="D30" s="43" t="str">
        <x:v>Social</x:v>
      </x:c>
      <x:c r="E30" s="43" t="str">
        <x:v>Inclusion, Support &amp; Social Integration</x:v>
      </x:c>
      <x:c r="F30" s="43" t="str">
        <x:v>The number or capacity of identifiable others who can provide a specified form of help when relevant conditions arise.</x:v>
      </x:c>
      <x:c r="G30" s="43" t="str">
        <x:v>Count</x:v>
      </x:c>
      <x:c r="H30" s="43" t="str">
        <x:v>Number of available providers; capacity-weighted availability; yes/no by support type</x:v>
      </x:c>
      <x:c r="I30" s="43" t="str">
        <x:v>Higher values = more available providers or greater available support capacity.</x:v>
      </x:c>
      <x:c r="J30" s="43" t="str">
        <x:v>Expands feasible coping and action options through accessible relational resources, whether or not support is ultimately requested or received.</x:v>
      </x:c>
      <x:c r="K30" s="43" t="str">
        <x:v>Network opportunity; relationship history; mobility; caregiving arrangements; group participation; exclusionary conduct</x:v>
      </x:c>
      <x:c r="L30" s="43" t="str">
        <x:v>Perceived support; belonging; stress buffering; help seeking; participation; withdrawal; health-relevant pathways</x:v>
      </x:c>
      <x:c r="M30" s="43" t="str">
        <x:v>Need–support match, relationship quality, reciprocity, timing, stigma, culture, chronicity, and whether support was sought.</x:v>
      </x:c>
      <x:c r="N30" s="43" t="str">
        <x:v>Support Provider Availability; Received Instrumental Support; Inclusion Event Frequency; Social Isolation Degree</x:v>
      </x:c>
      <x:c r="O30" s="43" t="str">
        <x:v>Moderate</x:v>
      </x:c>
      <x:c r="P30" s="43" t="str">
        <x:v>Moderate</x:v>
      </x:c>
      <x:c r="Q30" s="43" t="str">
        <x:v>Hours–Days; Days–Weeks</x:v>
      </x:c>
      <x:c r="R30" s="43" t="str">
        <x:v>Minutes–Hours</x:v>
      </x:c>
      <x:c r="S30" s="43" t="str">
        <x:v>Transactions are episodic; access and integration can persist for months or years.</x:v>
      </x:c>
      <x:c r="T30" s="43" t="str">
        <x:v>Named available helpers; response capacity; provider roster by support type</x:v>
      </x:c>
      <x:c r="U30" s="43" t="str">
        <x:v>Network inventory; received-support checklist; interaction diary; administrative participation record; sociometric nomination</x:v>
      </x:c>
      <x:c r="V30" s="43" t="str">
        <x:v>Moderate</x:v>
      </x:c>
      <x:c r="W30" s="43" t="str">
        <x:v>Structural integration, received support, perceived support, loneliness, and belonging are related but distinct constructs.</x:v>
      </x:c>
      <x:c r="X30" s="43" t="str">
        <x:v>Strong</x:v>
      </x:c>
      <x:c r="Y30" s="43" t="str">
        <x:v>Supported by converging review, meta-analytic, experimental, network, or longitudinal evidence. Specific effects and causal interpretation remain conditional on level, context, boundary, and measurement. Representative records: SRC222; SRC253; SRC264.</x:v>
      </x:c>
      <x:c r="Z30" s="43" t="str">
        <x:v>Using perceived support as evidence that aid was received, or equating living alone with loneliness or complete social isolation.</x:v>
      </x:c>
      <x:c r="AA30" s="43" t="str">
        <x:v>SRC222; SRC253; SRC264</x:v>
      </x:c>
    </x:row>
    <x:row r="31" ht="76" customHeight="1">
      <x:c r="A31" s="43" t="str">
        <x:v>SOC-027</x:v>
      </x:c>
      <x:c r="B31" s="43" t="str">
        <x:v>Received Emotional Support</x:v>
      </x:c>
      <x:c r="C31" s="43" t="str">
        <x:v>Enacted emotional support; emotional aid received</x:v>
      </x:c>
      <x:c r="D31" s="43" t="str">
        <x:v>Social</x:v>
      </x:c>
      <x:c r="E31" s="43" t="str">
        <x:v>Inclusion, Support &amp; Social Integration</x:v>
      </x:c>
      <x:c r="F31" s="43" t="str">
        <x:v>The frequency or amount of empathy, care, reassurance, or affective comfort actually provided to an actor by others.</x:v>
      </x:c>
      <x:c r="G31" s="43" t="str">
        <x:v>Frequency</x:v>
      </x:c>
      <x:c r="H31" s="43" t="str">
        <x:v>Supportive interactions per period; duration or intensity of received emotional aid</x:v>
      </x:c>
      <x:c r="I31" s="43" t="str">
        <x:v>Higher values = more emotional support received.</x:v>
      </x:c>
      <x:c r="J31" s="43" t="str">
        <x:v>Can buffer stress and sustain engagement by supplying interpersonal reassurance and emotion-focused assistance.</x:v>
      </x:c>
      <x:c r="K31" s="43" t="str">
        <x:v>Network opportunity; relationship history; mobility; caregiving arrangements; group participation; exclusionary conduct</x:v>
      </x:c>
      <x:c r="L31" s="43" t="str">
        <x:v>Perceived support; belonging; stress buffering; help seeking; participation; withdrawal; health-relevant pathways</x:v>
      </x:c>
      <x:c r="M31" s="43" t="str">
        <x:v>Need–support match, relationship quality, reciprocity, timing, stigma, culture, chronicity, and whether support was sought.</x:v>
      </x:c>
      <x:c r="N31" s="43" t="str">
        <x:v>Support Provider Availability; Received Instrumental Support; Inclusion Event Frequency; Social Isolation Degree</x:v>
      </x:c>
      <x:c r="O31" s="43" t="str">
        <x:v>Moderate</x:v>
      </x:c>
      <x:c r="P31" s="43" t="str">
        <x:v>Moderate</x:v>
      </x:c>
      <x:c r="Q31" s="43" t="str">
        <x:v>Hours–Days; Days–Weeks</x:v>
      </x:c>
      <x:c r="R31" s="43" t="str">
        <x:v>Minutes–Hours</x:v>
      </x:c>
      <x:c r="S31" s="43" t="str">
        <x:v>Transactions are episodic; access and integration can persist for months or years.</x:v>
      </x:c>
      <x:c r="T31" s="43" t="str">
        <x:v>Comforting interactions; empathic responses; reassurance events</x:v>
      </x:c>
      <x:c r="U31" s="43" t="str">
        <x:v>Network inventory; received-support checklist; interaction diary; administrative participation record; sociometric nomination</x:v>
      </x:c>
      <x:c r="V31" s="43" t="str">
        <x:v>Moderate</x:v>
      </x:c>
      <x:c r="W31" s="43" t="str">
        <x:v>Structural integration, received support, perceived support, loneliness, and belonging are related but distinct constructs.</x:v>
      </x:c>
      <x:c r="X31" s="43" t="str">
        <x:v>Moderate</x:v>
      </x:c>
      <x:c r="Y31" s="43" t="str">
        <x:v>Scientifically defensible with substantial supporting literature, while construct boundaries, causal identification, measurement, or transferability remain context dependent. Representative records: SRC222; SRC253; SRC264.</x:v>
      </x:c>
      <x:c r="Z31" s="43" t="str">
        <x:v>Using perceived support as evidence that aid was received, or equating living alone with loneliness or complete social isolation.</x:v>
      </x:c>
      <x:c r="AA31" s="43" t="str">
        <x:v>SRC222; SRC253; SRC264</x:v>
      </x:c>
    </x:row>
    <x:row r="32" ht="76" customHeight="1">
      <x:c r="A32" s="43" t="str">
        <x:v>SOC-028</x:v>
      </x:c>
      <x:c r="B32" s="43" t="str">
        <x:v>Received Instrumental Support</x:v>
      </x:c>
      <x:c r="C32" s="43" t="str">
        <x:v>Enacted tangible support; practical aid received</x:v>
      </x:c>
      <x:c r="D32" s="43" t="str">
        <x:v>Social</x:v>
      </x:c>
      <x:c r="E32" s="43" t="str">
        <x:v>Inclusion, Support &amp; Social Integration</x:v>
      </x:c>
      <x:c r="F32" s="43" t="str">
        <x:v>The frequency or amount of tangible assistance, services, material resources, or task help actually provided by others.</x:v>
      </x:c>
      <x:c r="G32" s="43" t="str">
        <x:v>Frequency</x:v>
      </x:c>
      <x:c r="H32" s="43" t="str">
        <x:v>Aid events per period; resource amount; hours of assistance</x:v>
      </x:c>
      <x:c r="I32" s="43" t="str">
        <x:v>Higher values = more instrumental support received.</x:v>
      </x:c>
      <x:c r="J32" s="43" t="str">
        <x:v>Changes actual capability and constraint by supplying resources or labor needed for action or coping.</x:v>
      </x:c>
      <x:c r="K32" s="43" t="str">
        <x:v>Network opportunity; relationship history; mobility; caregiving arrangements; group participation; exclusionary conduct</x:v>
      </x:c>
      <x:c r="L32" s="43" t="str">
        <x:v>Perceived support; belonging; stress buffering; help seeking; participation; withdrawal; health-relevant pathways</x:v>
      </x:c>
      <x:c r="M32" s="43" t="str">
        <x:v>Need–support match, relationship quality, reciprocity, timing, stigma, culture, chronicity, and whether support was sought.</x:v>
      </x:c>
      <x:c r="N32" s="43" t="str">
        <x:v>Support Provider Availability; Received Instrumental Support; Inclusion Event Frequency; Social Isolation Degree</x:v>
      </x:c>
      <x:c r="O32" s="43" t="str">
        <x:v>Moderate</x:v>
      </x:c>
      <x:c r="P32" s="43" t="str">
        <x:v>Moderate</x:v>
      </x:c>
      <x:c r="Q32" s="43" t="str">
        <x:v>Hours–Days; Days–Weeks</x:v>
      </x:c>
      <x:c r="R32" s="43" t="str">
        <x:v>Minutes–Hours</x:v>
      </x:c>
      <x:c r="S32" s="43" t="str">
        <x:v>Transactions are episodic; access and integration can persist for months or years.</x:v>
      </x:c>
      <x:c r="T32" s="43" t="str">
        <x:v>Help hours; goods or funds transferred; tasks completed by helpers</x:v>
      </x:c>
      <x:c r="U32" s="43" t="str">
        <x:v>Network inventory; received-support checklist; interaction diary; administrative participation record; sociometric nomination</x:v>
      </x:c>
      <x:c r="V32" s="43" t="str">
        <x:v>Moderate</x:v>
      </x:c>
      <x:c r="W32" s="43" t="str">
        <x:v>Structural integration, received support, perceived support, loneliness, and belonging are related but distinct constructs.</x:v>
      </x:c>
      <x:c r="X32" s="43" t="str">
        <x:v>Moderate</x:v>
      </x:c>
      <x:c r="Y32" s="43" t="str">
        <x:v>Scientifically defensible with substantial supporting literature, while construct boundaries, causal identification, measurement, or transferability remain context dependent. Representative records: SRC222; SRC253; SRC264.</x:v>
      </x:c>
      <x:c r="Z32" s="43" t="str">
        <x:v>Using perceived support as evidence that aid was received, or equating living alone with loneliness or complete social isolation.</x:v>
      </x:c>
      <x:c r="AA32" s="43" t="str">
        <x:v>SRC222; SRC253; SRC264</x:v>
      </x:c>
    </x:row>
    <x:row r="33" ht="76" customHeight="1">
      <x:c r="A33" s="43" t="str">
        <x:v>SOC-029</x:v>
      </x:c>
      <x:c r="B33" s="43" t="str">
        <x:v>Received Informational Support</x:v>
      </x:c>
      <x:c r="C33" s="43" t="str">
        <x:v>Advice received; enacted informational support; guidance receipt</x:v>
      </x:c>
      <x:c r="D33" s="43" t="str">
        <x:v>Social</x:v>
      </x:c>
      <x:c r="E33" s="43" t="str">
        <x:v>Inclusion, Support &amp; Social Integration</x:v>
      </x:c>
      <x:c r="F33" s="43" t="str">
        <x:v>The frequency or amount of advice, guidance, or problem-relevant knowledge actually provided by social contacts.</x:v>
      </x:c>
      <x:c r="G33" s="43" t="str">
        <x:v>Frequency</x:v>
      </x:c>
      <x:c r="H33" s="43" t="str">
        <x:v>Advice events per period; number of guidance providers; coded information-support amount</x:v>
      </x:c>
      <x:c r="I33" s="43" t="str">
        <x:v>Higher values = more informational support received from social contacts.</x:v>
      </x:c>
      <x:c r="J33" s="43" t="str">
        <x:v>Expands socially supplied options and interpretations that can improve or distort appraisal and decision making.</x:v>
      </x:c>
      <x:c r="K33" s="43" t="str">
        <x:v>Network opportunity; relationship history; mobility; caregiving arrangements; group participation; exclusionary conduct</x:v>
      </x:c>
      <x:c r="L33" s="43" t="str">
        <x:v>Perceived support; belonging; stress buffering; help seeking; participation; withdrawal; health-relevant pathways</x:v>
      </x:c>
      <x:c r="M33" s="43" t="str">
        <x:v>Need–support match, relationship quality, reciprocity, timing, stigma, culture, chronicity, and whether support was sought.</x:v>
      </x:c>
      <x:c r="N33" s="43" t="str">
        <x:v>Support Provider Availability; Received Instrumental Support; Inclusion Event Frequency; Social Isolation Degree</x:v>
      </x:c>
      <x:c r="O33" s="43" t="str">
        <x:v>Moderate</x:v>
      </x:c>
      <x:c r="P33" s="43" t="str">
        <x:v>Moderate</x:v>
      </x:c>
      <x:c r="Q33" s="43" t="str">
        <x:v>Hours–Days; Days–Weeks</x:v>
      </x:c>
      <x:c r="R33" s="43" t="str">
        <x:v>Minutes–Hours</x:v>
      </x:c>
      <x:c r="S33" s="43" t="str">
        <x:v>Transactions are episodic; access and integration can persist for months or years.</x:v>
      </x:c>
      <x:c r="T33" s="43" t="str">
        <x:v>Advice messages; guidance sessions; referrals; problem-solving suggestions</x:v>
      </x:c>
      <x:c r="U33" s="43" t="str">
        <x:v>Network inventory; received-support checklist; interaction diary; administrative participation record; sociometric nomination</x:v>
      </x:c>
      <x:c r="V33" s="43" t="str">
        <x:v>Moderate</x:v>
      </x:c>
      <x:c r="W33" s="43" t="str">
        <x:v>Structural integration, received support, perceived support, loneliness, and belonging are related but distinct constructs.</x:v>
      </x:c>
      <x:c r="X33" s="43" t="str">
        <x:v>Moderate</x:v>
      </x:c>
      <x:c r="Y33" s="43" t="str">
        <x:v>Scientifically defensible with substantial supporting literature, while construct boundaries, causal identification, measurement, or transferability remain context dependent. Representative records: SRC222; SRC253; SRC254.</x:v>
      </x:c>
      <x:c r="Z33" s="43" t="str">
        <x:v>Using perceived support as evidence that aid was received, or equating living alone with loneliness or complete social isolation.</x:v>
      </x:c>
      <x:c r="AA33" s="43" t="str">
        <x:v>SRC222; SRC253; SRC254</x:v>
      </x:c>
    </x:row>
    <x:row r="34" ht="76" customHeight="1">
      <x:c r="A34" s="43" t="str">
        <x:v>SOC-030</x:v>
      </x:c>
      <x:c r="B34" s="43" t="str">
        <x:v>Inclusion Event Frequency</x:v>
      </x:c>
      <x:c r="C34" s="43" t="str">
        <x:v>Social acceptance events; invitations; participation inclusion</x:v>
      </x:c>
      <x:c r="D34" s="43" t="str">
        <x:v>Social</x:v>
      </x:c>
      <x:c r="E34" s="43" t="str">
        <x:v>Inclusion, Support &amp; Social Integration</x:v>
      </x:c>
      <x:c r="F34" s="43" t="str">
        <x:v>The number of occasions on which an actor is invited, acknowledged, admitted, or included in relevant social interaction per unit time.</x:v>
      </x:c>
      <x:c r="G34" s="43" t="str">
        <x:v>Frequency</x:v>
      </x:c>
      <x:c r="H34" s="43" t="str">
        <x:v>Inclusion events per day, week, or opportunity; inclusion-opportunity ratio</x:v>
      </x:c>
      <x:c r="I34" s="43" t="str">
        <x:v>Higher values = more frequent social inclusion.</x:v>
      </x:c>
      <x:c r="J34" s="43" t="str">
        <x:v>Provides access, recognition, and participation opportunities that can update belonging, support, and engagement.</x:v>
      </x:c>
      <x:c r="K34" s="43" t="str">
        <x:v>Network opportunity; relationship history; mobility; caregiving arrangements; group participation; exclusionary conduct</x:v>
      </x:c>
      <x:c r="L34" s="43" t="str">
        <x:v>Perceived support; belonging; stress buffering; help seeking; participation; withdrawal; health-relevant pathways</x:v>
      </x:c>
      <x:c r="M34" s="43" t="str">
        <x:v>Need–support match, relationship quality, reciprocity, timing, stigma, culture, chronicity, and whether support was sought.</x:v>
      </x:c>
      <x:c r="N34" s="43" t="str">
        <x:v>Support Provider Availability; Received Instrumental Support; Inclusion Event Frequency; Social Isolation Degree</x:v>
      </x:c>
      <x:c r="O34" s="43" t="str">
        <x:v>Moderate</x:v>
      </x:c>
      <x:c r="P34" s="43" t="str">
        <x:v>Moderate</x:v>
      </x:c>
      <x:c r="Q34" s="43" t="str">
        <x:v>Hours–Days; Days–Weeks</x:v>
      </x:c>
      <x:c r="R34" s="43" t="str">
        <x:v>Minutes–Hours</x:v>
      </x:c>
      <x:c r="S34" s="43" t="str">
        <x:v>Transactions are episodic; access and integration can persist for months or years.</x:v>
      </x:c>
      <x:c r="T34" s="43" t="str">
        <x:v>Invitations; turn allocation; acknowledged contributions; admission records</x:v>
      </x:c>
      <x:c r="U34" s="43" t="str">
        <x:v>Network inventory; received-support checklist; interaction diary; administrative participation record; sociometric nomination</x:v>
      </x:c>
      <x:c r="V34" s="43" t="str">
        <x:v>Moderate</x:v>
      </x:c>
      <x:c r="W34" s="43" t="str">
        <x:v>Structural integration, received support, perceived support, loneliness, and belonging are related but distinct constructs.</x:v>
      </x:c>
      <x:c r="X34" s="43" t="str">
        <x:v>Strong</x:v>
      </x:c>
      <x:c r="Y34" s="43" t="str">
        <x:v>Supported by converging review, meta-analytic, experimental, network, or longitudinal evidence. Specific effects and causal interpretation remain conditional on level, context, boundary, and measurement. Representative records: SRC220; SRC221.</x:v>
      </x:c>
      <x:c r="Z34" s="43" t="str">
        <x:v>Using perceived support as evidence that aid was received, or equating living alone with loneliness or complete social isolation.</x:v>
      </x:c>
      <x:c r="AA34" s="43" t="str">
        <x:v>SRC220; SRC221</x:v>
      </x:c>
    </x:row>
    <x:row r="35" ht="76" customHeight="1">
      <x:c r="A35" s="43" t="str">
        <x:v>SOC-031</x:v>
      </x:c>
      <x:c r="B35" s="43" t="str">
        <x:v>Ostracism Exposure</x:v>
      </x:c>
      <x:c r="C35" s="43" t="str">
        <x:v>Social exclusion exposure; being ignored; exclusion events</x:v>
      </x:c>
      <x:c r="D35" s="43" t="str">
        <x:v>Social</x:v>
      </x:c>
      <x:c r="E35" s="43" t="str">
        <x:v>Inclusion, Support &amp; Social Integration</x:v>
      </x:c>
      <x:c r="F35" s="43" t="str">
        <x:v>The frequency or duration of episodes in which relevant others ignore, exclude, or withhold expected social engagement from an actor.</x:v>
      </x:c>
      <x:c r="G35" s="43" t="str">
        <x:v>Frequency</x:v>
      </x:c>
      <x:c r="H35" s="43" t="str">
        <x:v>Events per period; excluded-opportunity proportion; episode duration</x:v>
      </x:c>
      <x:c r="I35" s="43" t="str">
        <x:v>Higher values = more frequent or sustained ostracism exposure.</x:v>
      </x:c>
      <x:c r="J35" s="43" t="str">
        <x:v>Removes relational access and signals rejection, altering belonging, affect, attention, and subsequent affiliation or withdrawal.</x:v>
      </x:c>
      <x:c r="K35" s="43" t="str">
        <x:v>Network opportunity; relationship history; mobility; caregiving arrangements; group participation; exclusionary conduct</x:v>
      </x:c>
      <x:c r="L35" s="43" t="str">
        <x:v>Perceived support; belonging; stress buffering; help seeking; participation; withdrawal; health-relevant pathways</x:v>
      </x:c>
      <x:c r="M35" s="43" t="str">
        <x:v>Need–support match, relationship quality, reciprocity, timing, stigma, culture, chronicity, and whether support was sought.</x:v>
      </x:c>
      <x:c r="N35" s="43" t="str">
        <x:v>Support Provider Availability; Received Instrumental Support; Inclusion Event Frequency; Social Isolation Degree</x:v>
      </x:c>
      <x:c r="O35" s="43" t="str">
        <x:v>Moderate</x:v>
      </x:c>
      <x:c r="P35" s="43" t="str">
        <x:v>Moderate</x:v>
      </x:c>
      <x:c r="Q35" s="43" t="str">
        <x:v>Hours–Days; Days–Weeks</x:v>
      </x:c>
      <x:c r="R35" s="43" t="str">
        <x:v>Minutes–Hours</x:v>
      </x:c>
      <x:c r="S35" s="43" t="str">
        <x:v>Transactions are episodic; access and integration can persist for months or years.</x:v>
      </x:c>
      <x:c r="T35" s="43" t="str">
        <x:v>Unanswered bids; omitted invitations; ignored turns; sociometric nonselection</x:v>
      </x:c>
      <x:c r="U35" s="43" t="str">
        <x:v>Network inventory; received-support checklist; interaction diary; administrative participation record; sociometric nomination</x:v>
      </x:c>
      <x:c r="V35" s="43" t="str">
        <x:v>Moderate</x:v>
      </x:c>
      <x:c r="W35" s="43" t="str">
        <x:v>Structural integration, received support, perceived support, loneliness, and belonging are related but distinct constructs.</x:v>
      </x:c>
      <x:c r="X35" s="43" t="str">
        <x:v>Strong</x:v>
      </x:c>
      <x:c r="Y35" s="43" t="str">
        <x:v>Supported by converging review, meta-analytic, experimental, network, or longitudinal evidence. Specific effects and causal interpretation remain conditional on level, context, boundary, and measurement. Representative records: SRC220; SRC221.</x:v>
      </x:c>
      <x:c r="Z35" s="43" t="str">
        <x:v>Using perceived support as evidence that aid was received, or equating living alone with loneliness or complete social isolation.</x:v>
      </x:c>
      <x:c r="AA35" s="43" t="str">
        <x:v>SRC220; SRC221</x:v>
      </x:c>
    </x:row>
    <x:row r="36" ht="76" customHeight="1">
      <x:c r="A36" s="43" t="str">
        <x:v>SOC-032</x:v>
      </x:c>
      <x:c r="B36" s="43" t="str">
        <x:v>Social Isolation Degree</x:v>
      </x:c>
      <x:c r="C36" s="43" t="str">
        <x:v>Objective social isolation; structural isolation; low social connectedness</x:v>
      </x:c>
      <x:c r="D36" s="43" t="str">
        <x:v>Social</x:v>
      </x:c>
      <x:c r="E36" s="43" t="str">
        <x:v>Inclusion, Support &amp; Social Integration</x:v>
      </x:c>
      <x:c r="F36" s="43" t="str">
        <x:v>The degree to which an actor has infrequent contact, few active ties, and limited participation across relevant social domains.</x:v>
      </x:c>
      <x:c r="G36" s="43" t="str">
        <x:v>Multidimensional</x:v>
      </x:c>
      <x:c r="H36" s="43" t="str">
        <x:v>Composite of network size, contact frequency, living arrangement, and participation; low–high isolation</x:v>
      </x:c>
      <x:c r="I36" s="43" t="str">
        <x:v>Higher values = greater objective social isolation.</x:v>
      </x:c>
      <x:c r="J36" s="43" t="str">
        <x:v>Reduces access to social resources, monitoring, support, and influence and can alter health- and behavior-relevant pathways.</x:v>
      </x:c>
      <x:c r="K36" s="43" t="str">
        <x:v>Network opportunity; relationship history; mobility; caregiving arrangements; group participation; exclusionary conduct</x:v>
      </x:c>
      <x:c r="L36" s="43" t="str">
        <x:v>Perceived support; belonging; stress buffering; help seeking; participation; withdrawal; health-relevant pathways</x:v>
      </x:c>
      <x:c r="M36" s="43" t="str">
        <x:v>Need–support match, relationship quality, reciprocity, timing, stigma, culture, chronicity, and whether support was sought.</x:v>
      </x:c>
      <x:c r="N36" s="43" t="str">
        <x:v>Support Provider Availability; Received Instrumental Support; Inclusion Event Frequency; Social Isolation Degree</x:v>
      </x:c>
      <x:c r="O36" s="43" t="str">
        <x:v>Moderate</x:v>
      </x:c>
      <x:c r="P36" s="43" t="str">
        <x:v>Moderate</x:v>
      </x:c>
      <x:c r="Q36" s="43" t="str">
        <x:v>Hours–Days; Days–Weeks</x:v>
      </x:c>
      <x:c r="R36" s="43" t="str">
        <x:v>Minutes–Hours</x:v>
      </x:c>
      <x:c r="S36" s="43" t="str">
        <x:v>Transactions are episodic; access and integration can persist for months or years.</x:v>
      </x:c>
      <x:c r="T36" s="43" t="str">
        <x:v>Contact scarcity; network size; participation frequency; time spent alone</x:v>
      </x:c>
      <x:c r="U36" s="43" t="str">
        <x:v>Network inventory; received-support checklist; interaction diary; administrative participation record; sociometric nomination</x:v>
      </x:c>
      <x:c r="V36" s="43" t="str">
        <x:v>Moderate</x:v>
      </x:c>
      <x:c r="W36" s="43" t="str">
        <x:v>Structural integration, received support, perceived support, loneliness, and belonging are related but distinct constructs.</x:v>
      </x:c>
      <x:c r="X36" s="43" t="str">
        <x:v>Strong</x:v>
      </x:c>
      <x:c r="Y36" s="43" t="str">
        <x:v>Supported by converging review, meta-analytic, experimental, network, or longitudinal evidence. Specific effects and causal interpretation remain conditional on level, context, boundary, and measurement. Representative records: SRC222; SRC256; SRC272.</x:v>
      </x:c>
      <x:c r="Z36" s="43" t="str">
        <x:v>Using perceived support as evidence that aid was received, or equating living alone with loneliness or complete social isolation.</x:v>
      </x:c>
      <x:c r="AA36" s="43" t="str">
        <x:v>SRC222; SRC256; SRC272</x:v>
      </x:c>
    </x:row>
    <x:row r="37" ht="76" customHeight="1">
      <x:c r="A37" s="43" t="str">
        <x:v>SOC-033</x:v>
      </x:c>
      <x:c r="B37" s="43" t="str">
        <x:v>Partner Reliability</x:v>
      </x:c>
      <x:c r="C37" s="43" t="str">
        <x:v>Behavioral trustworthiness; dependable partner conduct; fulfilled commitments</x:v>
      </x:c>
      <x:c r="D37" s="43" t="str">
        <x:v>Social</x:v>
      </x:c>
      <x:c r="E37" s="43" t="str">
        <x:v>Cooperation, Reciprocity &amp; Mutual Dependence</x:v>
      </x:c>
      <x:c r="F37" s="43" t="str">
        <x:v>The proportion of relevant commitments or expected cooperative actions that a specified partner fulfills.</x:v>
      </x:c>
      <x:c r="G37" s="43" t="str">
        <x:v>Proportion</x:v>
      </x:c>
      <x:c r="H37" s="43" t="str">
        <x:v>0–1 fulfilled commitments; reliable-action rate</x:v>
      </x:c>
      <x:c r="I37" s="43" t="str">
        <x:v>Higher values = a greater proportion of expected cooperative actions are fulfilled.</x:v>
      </x:c>
      <x:c r="J37" s="43" t="str">
        <x:v>Provides behavioral evidence for trust calibration and reduces uncertainty about exchange, coordination, and vulnerability.</x:v>
      </x:c>
      <x:c r="K37" s="43" t="str">
        <x:v>Repeated exchange; partner choice; reputation; incentives; resource scarcity; monitoring; prior cooperation</x:v>
      </x:c>
      <x:c r="L37" s="43" t="str">
        <x:v>Trust updating; future cooperation; contribution; sanctioning; relationship persistence; collective capacity</x:v>
      </x:c>
      <x:c r="M37" s="43" t="str">
        <x:v>Conflict of interest, interaction horizon, group size, anonymity, inequality, communication, and enforcement options.</x:v>
      </x:c>
      <x:c r="N37" s="43" t="str">
        <x:v>Partner Reliability; Reciprocity Balance; Repeated Interaction Probability; Free-Riding Prevalence</x:v>
      </x:c>
      <x:c r="O37" s="43" t="str">
        <x:v>Moderate</x:v>
      </x:c>
      <x:c r="P37" s="43" t="str">
        <x:v>Moderate</x:v>
      </x:c>
      <x:c r="Q37" s="43" t="str">
        <x:v>Days–Weeks</x:v>
      </x:c>
      <x:c r="R37" s="43" t="str">
        <x:v>Minutes–Hours</x:v>
      </x:c>
      <x:c r="S37" s="43" t="str">
        <x:v>May stabilize through repeated exchange and reputation, yet can unravel quickly after defection.</x:v>
      </x:c>
      <x:c r="T37" s="43" t="str">
        <x:v>Commitment fulfillment; on-time contribution; promise keeping; defection rate</x:v>
      </x:c>
      <x:c r="U37" s="43" t="str">
        <x:v>Repeated-game task; transaction record; behavioral observation; partner report; resource-flow network</x:v>
      </x:c>
      <x:c r="V37" s="43" t="str">
        <x:v>Moderate</x:v>
      </x:c>
      <x:c r="W37" s="43" t="str">
        <x:v>Observed cooperation can reflect incentives, constraint, selection, or reputation rather than a stable cooperative disposition.</x:v>
      </x:c>
      <x:c r="X37" s="43" t="str">
        <x:v>Strong</x:v>
      </x:c>
      <x:c r="Y37" s="43" t="str">
        <x:v>Supported by converging review, meta-analytic, experimental, network, or longitudinal evidence. Specific effects and causal interpretation remain conditional on level, context, boundary, and measurement. Representative records: SRC223; SRC248.</x:v>
      </x:c>
      <x:c r="Z37" s="43" t="str">
        <x:v>Treating reciprocity, trust, fairness, and cooperation as interchangeable or attributing group outcomes to personality alone.</x:v>
      </x:c>
      <x:c r="AA37" s="43" t="str">
        <x:v>SRC223; SRC248</x:v>
      </x:c>
    </x:row>
    <x:row r="38" ht="76" customHeight="1">
      <x:c r="A38" s="43" t="str">
        <x:v>SOC-034</x:v>
      </x:c>
      <x:c r="B38" s="43" t="str">
        <x:v>Cooperation Prevalence</x:v>
      </x:c>
      <x:c r="C38" s="43" t="str">
        <x:v>Observed cooperation rate; cooperative climate; contribution prevalence</x:v>
      </x:c>
      <x:c r="D38" s="43" t="str">
        <x:v>Social</x:v>
      </x:c>
      <x:c r="E38" s="43" t="str">
        <x:v>Cooperation, Reciprocity &amp; Mutual Dependence</x:v>
      </x:c>
      <x:c r="F38" s="43" t="str">
        <x:v>The proportion of relevant actors or opportunities in which resources or effort are contributed toward a shared or mutually beneficial outcome.</x:v>
      </x:c>
      <x:c r="G38" s="43" t="str">
        <x:v>Proportion</x:v>
      </x:c>
      <x:c r="H38" s="43" t="str">
        <x:v>0–1 cooperative choices; contributors per opportunity; contribution-rate distribution</x:v>
      </x:c>
      <x:c r="I38" s="43" t="str">
        <x:v>Higher values = more prevalent cooperative contribution.</x:v>
      </x:c>
      <x:c r="J38" s="43" t="str">
        <x:v>Shapes expectations and reciprocal response by signaling whether mutual contribution is a viable local pattern.</x:v>
      </x:c>
      <x:c r="K38" s="43" t="str">
        <x:v>Repeated exchange; partner choice; reputation; incentives; resource scarcity; monitoring; prior cooperation</x:v>
      </x:c>
      <x:c r="L38" s="43" t="str">
        <x:v>Trust updating; future cooperation; contribution; sanctioning; relationship persistence; collective capacity</x:v>
      </x:c>
      <x:c r="M38" s="43" t="str">
        <x:v>Conflict of interest, interaction horizon, group size, anonymity, inequality, communication, and enforcement options.</x:v>
      </x:c>
      <x:c r="N38" s="43" t="str">
        <x:v>Partner Reliability; Reciprocity Balance; Repeated Interaction Probability; Free-Riding Prevalence</x:v>
      </x:c>
      <x:c r="O38" s="43" t="str">
        <x:v>Moderate</x:v>
      </x:c>
      <x:c r="P38" s="43" t="str">
        <x:v>Moderate</x:v>
      </x:c>
      <x:c r="Q38" s="43" t="str">
        <x:v>Days–Weeks</x:v>
      </x:c>
      <x:c r="R38" s="43" t="str">
        <x:v>Minutes–Hours</x:v>
      </x:c>
      <x:c r="S38" s="43" t="str">
        <x:v>May stabilize through repeated exchange and reputation, yet can unravel quickly after defection.</x:v>
      </x:c>
      <x:c r="T38" s="43" t="str">
        <x:v>Cooperative choices; public-good contributions; helping or sharing rate</x:v>
      </x:c>
      <x:c r="U38" s="43" t="str">
        <x:v>Repeated-game task; transaction record; behavioral observation; partner report; resource-flow network</x:v>
      </x:c>
      <x:c r="V38" s="43" t="str">
        <x:v>Moderate</x:v>
      </x:c>
      <x:c r="W38" s="43" t="str">
        <x:v>Observed cooperation can reflect incentives, constraint, selection, or reputation rather than a stable cooperative disposition.</x:v>
      </x:c>
      <x:c r="X38" s="43" t="str">
        <x:v>Strong</x:v>
      </x:c>
      <x:c r="Y38" s="43" t="str">
        <x:v>Supported by converging review, meta-analytic, experimental, network, or longitudinal evidence. Specific effects and causal interpretation remain conditional on level, context, boundary, and measurement. Representative records: SRC223; SRC225; SRC226.</x:v>
      </x:c>
      <x:c r="Z38" s="43" t="str">
        <x:v>Treating reciprocity, trust, fairness, and cooperation as interchangeable or attributing group outcomes to personality alone.</x:v>
      </x:c>
      <x:c r="AA38" s="43" t="str">
        <x:v>SRC223; SRC225; SRC226</x:v>
      </x:c>
    </x:row>
    <x:row r="39" ht="76" customHeight="1">
      <x:c r="A39" s="43" t="str">
        <x:v>SOC-035</x:v>
      </x:c>
      <x:c r="B39" s="43" t="str">
        <x:v>Reciprocity Balance</x:v>
      </x:c>
      <x:c r="C39" s="43" t="str">
        <x:v>Exchange balance; give–receive balance; reciprocal equity</x:v>
      </x:c>
      <x:c r="D39" s="43" t="str">
        <x:v>Social</x:v>
      </x:c>
      <x:c r="E39" s="43" t="str">
        <x:v>Cooperation, Reciprocity &amp; Mutual Dependence</x:v>
      </x:c>
      <x:c r="F39" s="43" t="str">
        <x:v>The signed balance between resources, aid, or benefits an actor gives to and receives from a specified partner over a defined interval.</x:v>
      </x:c>
      <x:c r="G39" s="43" t="str">
        <x:v>Bipolar continuous</x:v>
      </x:c>
      <x:c r="H39" s="43" t="str">
        <x:v>Negative = net receiving; zero = balanced; positive = net giving</x:v>
      </x:c>
      <x:c r="I39" s="43" t="str">
        <x:v>Negative values = receives more than gives; positive values = gives more than receives.</x:v>
      </x:c>
      <x:c r="J39" s="43" t="str">
        <x:v>Changes obligation, resentment, willingness to continue exchange, and expectations of future return.</x:v>
      </x:c>
      <x:c r="K39" s="43" t="str">
        <x:v>Repeated exchange; partner choice; reputation; incentives; resource scarcity; monitoring; prior cooperation</x:v>
      </x:c>
      <x:c r="L39" s="43" t="str">
        <x:v>Trust updating; future cooperation; contribution; sanctioning; relationship persistence; collective capacity</x:v>
      </x:c>
      <x:c r="M39" s="43" t="str">
        <x:v>Conflict of interest, interaction horizon, group size, anonymity, inequality, communication, and enforcement options.</x:v>
      </x:c>
      <x:c r="N39" s="43" t="str">
        <x:v>Partner Reliability; Reciprocity Balance; Repeated Interaction Probability; Free-Riding Prevalence</x:v>
      </x:c>
      <x:c r="O39" s="43" t="str">
        <x:v>Moderate</x:v>
      </x:c>
      <x:c r="P39" s="43" t="str">
        <x:v>Moderate</x:v>
      </x:c>
      <x:c r="Q39" s="43" t="str">
        <x:v>Days–Weeks</x:v>
      </x:c>
      <x:c r="R39" s="43" t="str">
        <x:v>Minutes–Hours</x:v>
      </x:c>
      <x:c r="S39" s="43" t="str">
        <x:v>May stabilize through repeated exchange and reputation, yet can unravel quickly after defection.</x:v>
      </x:c>
      <x:c r="T39" s="43" t="str">
        <x:v>Value or count of resources given minus received; reciprocal exchange ledger</x:v>
      </x:c>
      <x:c r="U39" s="43" t="str">
        <x:v>Repeated-game task; transaction record; behavioral observation; partner report; resource-flow network</x:v>
      </x:c>
      <x:c r="V39" s="43" t="str">
        <x:v>Moderate</x:v>
      </x:c>
      <x:c r="W39" s="43" t="str">
        <x:v>Observed cooperation can reflect incentives, constraint, selection, or reputation rather than a stable cooperative disposition.</x:v>
      </x:c>
      <x:c r="X39" s="43" t="str">
        <x:v>Strong</x:v>
      </x:c>
      <x:c r="Y39" s="43" t="str">
        <x:v>Supported by converging review, meta-analytic, experimental, network, or longitudinal evidence. Specific effects and causal interpretation remain conditional on level, context, boundary, and measurement. Representative records: SRC224; SRC248.</x:v>
      </x:c>
      <x:c r="Z39" s="43" t="str">
        <x:v>Treating reciprocity, trust, fairness, and cooperation as interchangeable or attributing group outcomes to personality alone.</x:v>
      </x:c>
      <x:c r="AA39" s="43" t="str">
        <x:v>SRC224; SRC248</x:v>
      </x:c>
    </x:row>
    <x:row r="40" ht="76" customHeight="1">
      <x:c r="A40" s="43" t="str">
        <x:v>SOC-036</x:v>
      </x:c>
      <x:c r="B40" s="43" t="str">
        <x:v>Repeated Interaction Probability</x:v>
      </x:c>
      <x:c r="C40" s="43" t="str">
        <x:v>Shadow of the future; future-contact likelihood; interaction continuation</x:v>
      </x:c>
      <x:c r="D40" s="43" t="str">
        <x:v>Social</x:v>
      </x:c>
      <x:c r="E40" s="43" t="str">
        <x:v>Cooperation, Reciprocity &amp; Mutual Dependence</x:v>
      </x:c>
      <x:c r="F40" s="43" t="str">
        <x:v>The probability that the same actors will have another consequential interaction after the current exchange.</x:v>
      </x:c>
      <x:c r="G40" s="43" t="str">
        <x:v>Proportion</x:v>
      </x:c>
      <x:c r="H40" s="43" t="str">
        <x:v>0–1 estimated or design-based probability of future interaction</x:v>
      </x:c>
      <x:c r="I40" s="43" t="str">
        <x:v>Higher values = a greater likelihood of future interaction between the same actors.</x:v>
      </x:c>
      <x:c r="J40" s="43" t="str">
        <x:v>Makes future reciprocity, reputation, and retaliation more consequential in present cooperation decisions.</x:v>
      </x:c>
      <x:c r="K40" s="43" t="str">
        <x:v>Repeated exchange; partner choice; reputation; incentives; resource scarcity; monitoring; prior cooperation</x:v>
      </x:c>
      <x:c r="L40" s="43" t="str">
        <x:v>Trust updating; future cooperation; contribution; sanctioning; relationship persistence; collective capacity</x:v>
      </x:c>
      <x:c r="M40" s="43" t="str">
        <x:v>Conflict of interest, interaction horizon, group size, anonymity, inequality, communication, and enforcement options.</x:v>
      </x:c>
      <x:c r="N40" s="43" t="str">
        <x:v>Partner Reliability; Reciprocity Balance; Repeated Interaction Probability; Free-Riding Prevalence</x:v>
      </x:c>
      <x:c r="O40" s="43" t="str">
        <x:v>Moderate</x:v>
      </x:c>
      <x:c r="P40" s="43" t="str">
        <x:v>Moderate</x:v>
      </x:c>
      <x:c r="Q40" s="43" t="str">
        <x:v>Days–Weeks</x:v>
      </x:c>
      <x:c r="R40" s="43" t="str">
        <x:v>Minutes–Hours</x:v>
      </x:c>
      <x:c r="S40" s="43" t="str">
        <x:v>May stabilize through repeated exchange and reputation, yet can unravel quickly after defection.</x:v>
      </x:c>
      <x:c r="T40" s="43" t="str">
        <x:v>Scheduled future contact; observed return rate; relationship continuation probability</x:v>
      </x:c>
      <x:c r="U40" s="43" t="str">
        <x:v>Repeated-game task; transaction record; behavioral observation; partner report; resource-flow network</x:v>
      </x:c>
      <x:c r="V40" s="43" t="str">
        <x:v>Moderate</x:v>
      </x:c>
      <x:c r="W40" s="43" t="str">
        <x:v>Observed cooperation can reflect incentives, constraint, selection, or reputation rather than a stable cooperative disposition.</x:v>
      </x:c>
      <x:c r="X40" s="43" t="str">
        <x:v>Strong</x:v>
      </x:c>
      <x:c r="Y40" s="43" t="str">
        <x:v>Supported by converging review, meta-analytic, experimental, network, or longitudinal evidence. Specific effects and causal interpretation remain conditional on level, context, boundary, and measurement. Representative records: SRC223; SRC224; SRC248.</x:v>
      </x:c>
      <x:c r="Z40" s="43" t="str">
        <x:v>Treating reciprocity, trust, fairness, and cooperation as interchangeable or attributing group outcomes to personality alone.</x:v>
      </x:c>
      <x:c r="AA40" s="43" t="str">
        <x:v>SRC223; SRC224; SRC248</x:v>
      </x:c>
    </x:row>
    <x:row r="41" ht="76" customHeight="1">
      <x:c r="A41" s="43" t="str">
        <x:v>SOC-037</x:v>
      </x:c>
      <x:c r="B41" s="43" t="str">
        <x:v>Mutual Aid Frequency</x:v>
      </x:c>
      <x:c r="C41" s="43" t="str">
        <x:v>Helping exchange rate; reciprocal help; aid exchange</x:v>
      </x:c>
      <x:c r="D41" s="43" t="str">
        <x:v>Social</x:v>
      </x:c>
      <x:c r="E41" s="43" t="str">
        <x:v>Cooperation, Reciprocity &amp; Mutual Dependence</x:v>
      </x:c>
      <x:c r="F41" s="43" t="str">
        <x:v>The number of episodes in which members of a specified relationship or group provide practical help to one another per unit time.</x:v>
      </x:c>
      <x:c r="G41" s="43" t="str">
        <x:v>Frequency</x:v>
      </x:c>
      <x:c r="H41" s="43" t="str">
        <x:v>Aid exchanges per week, month, or need opportunity</x:v>
      </x:c>
      <x:c r="I41" s="43" t="str">
        <x:v>Higher values = more frequent mutual aid.</x:v>
      </x:c>
      <x:c r="J41" s="43" t="str">
        <x:v>Maintains reciprocal obligations and directly expands the resources available for coping and collective action.</x:v>
      </x:c>
      <x:c r="K41" s="43" t="str">
        <x:v>Repeated exchange; partner choice; reputation; incentives; resource scarcity; monitoring; prior cooperation</x:v>
      </x:c>
      <x:c r="L41" s="43" t="str">
        <x:v>Trust updating; future cooperation; contribution; sanctioning; relationship persistence; collective capacity</x:v>
      </x:c>
      <x:c r="M41" s="43" t="str">
        <x:v>Conflict of interest, interaction horizon, group size, anonymity, inequality, communication, and enforcement options.</x:v>
      </x:c>
      <x:c r="N41" s="43" t="str">
        <x:v>Partner Reliability; Reciprocity Balance; Repeated Interaction Probability; Free-Riding Prevalence</x:v>
      </x:c>
      <x:c r="O41" s="43" t="str">
        <x:v>Moderate</x:v>
      </x:c>
      <x:c r="P41" s="43" t="str">
        <x:v>Moderate</x:v>
      </x:c>
      <x:c r="Q41" s="43" t="str">
        <x:v>Days–Weeks</x:v>
      </x:c>
      <x:c r="R41" s="43" t="str">
        <x:v>Minutes–Hours</x:v>
      </x:c>
      <x:c r="S41" s="43" t="str">
        <x:v>May stabilize through repeated exchange and reputation, yet can unravel quickly after defection.</x:v>
      </x:c>
      <x:c r="T41" s="43" t="str">
        <x:v>Help events; caregiving exchanges; task assistance; emergency aid</x:v>
      </x:c>
      <x:c r="U41" s="43" t="str">
        <x:v>Repeated-game task; transaction record; behavioral observation; partner report; resource-flow network</x:v>
      </x:c>
      <x:c r="V41" s="43" t="str">
        <x:v>Moderate</x:v>
      </x:c>
      <x:c r="W41" s="43" t="str">
        <x:v>Observed cooperation can reflect incentives, constraint, selection, or reputation rather than a stable cooperative disposition.</x:v>
      </x:c>
      <x:c r="X41" s="43" t="str">
        <x:v>Moderate</x:v>
      </x:c>
      <x:c r="Y41" s="43" t="str">
        <x:v>Scientifically defensible with substantial supporting literature, while construct boundaries, causal identification, measurement, or transferability remain context dependent. Representative records: SRC222; SRC224; SRC248.</x:v>
      </x:c>
      <x:c r="Z41" s="43" t="str">
        <x:v>Treating reciprocity, trust, fairness, and cooperation as interchangeable or attributing group outcomes to personality alone.</x:v>
      </x:c>
      <x:c r="AA41" s="43" t="str">
        <x:v>SRC222; SRC224; SRC248</x:v>
      </x:c>
    </x:row>
    <x:row r="42" ht="76" customHeight="1">
      <x:c r="A42" s="43" t="str">
        <x:v>SOC-038</x:v>
      </x:c>
      <x:c r="B42" s="43" t="str">
        <x:v>Resource-Sharing Rate</x:v>
      </x:c>
      <x:c r="C42" s="43" t="str">
        <x:v>Sharing frequency; pooled-resource contribution; resource exchange rate</x:v>
      </x:c>
      <x:c r="D42" s="43" t="str">
        <x:v>Social</x:v>
      </x:c>
      <x:c r="E42" s="43" t="str">
        <x:v>Cooperation, Reciprocity &amp; Mutual Dependence</x:v>
      </x:c>
      <x:c r="F42" s="43" t="str">
        <x:v>The amount or proportion of relevant resources transferred, pooled, or made available to others per unit time or opportunity.</x:v>
      </x:c>
      <x:c r="G42" s="43" t="str">
        <x:v>Rate</x:v>
      </x:c>
      <x:c r="H42" s="43" t="str">
        <x:v>Resource units per period; proportion of endowment shared; pooled contribution rate</x:v>
      </x:c>
      <x:c r="I42" s="43" t="str">
        <x:v>Higher values = more resources shared with others.</x:v>
      </x:c>
      <x:c r="J42" s="43" t="str">
        <x:v>Changes others' capabilities and signals cooperative intent, which can invite reciprocity or exploitation.</x:v>
      </x:c>
      <x:c r="K42" s="43" t="str">
        <x:v>Repeated exchange; partner choice; reputation; incentives; resource scarcity; monitoring; prior cooperation</x:v>
      </x:c>
      <x:c r="L42" s="43" t="str">
        <x:v>Trust updating; future cooperation; contribution; sanctioning; relationship persistence; collective capacity</x:v>
      </x:c>
      <x:c r="M42" s="43" t="str">
        <x:v>Conflict of interest, interaction horizon, group size, anonymity, inequality, communication, and enforcement options.</x:v>
      </x:c>
      <x:c r="N42" s="43" t="str">
        <x:v>Partner Reliability; Reciprocity Balance; Repeated Interaction Probability; Free-Riding Prevalence</x:v>
      </x:c>
      <x:c r="O42" s="43" t="str">
        <x:v>Moderate</x:v>
      </x:c>
      <x:c r="P42" s="43" t="str">
        <x:v>Moderate</x:v>
      </x:c>
      <x:c r="Q42" s="43" t="str">
        <x:v>Days–Weeks</x:v>
      </x:c>
      <x:c r="R42" s="43" t="str">
        <x:v>Minutes–Hours</x:v>
      </x:c>
      <x:c r="S42" s="43" t="str">
        <x:v>May stabilize through repeated exchange and reputation, yet can unravel quickly after defection.</x:v>
      </x:c>
      <x:c r="T42" s="43" t="str">
        <x:v>Funds, goods, data, space, or time shared; contribution records</x:v>
      </x:c>
      <x:c r="U42" s="43" t="str">
        <x:v>Repeated-game task; transaction record; behavioral observation; partner report; resource-flow network</x:v>
      </x:c>
      <x:c r="V42" s="43" t="str">
        <x:v>Moderate</x:v>
      </x:c>
      <x:c r="W42" s="43" t="str">
        <x:v>Observed cooperation can reflect incentives, constraint, selection, or reputation rather than a stable cooperative disposition.</x:v>
      </x:c>
      <x:c r="X42" s="43" t="str">
        <x:v>Moderate</x:v>
      </x:c>
      <x:c r="Y42" s="43" t="str">
        <x:v>Scientifically defensible with substantial supporting literature, while construct boundaries, causal identification, measurement, or transferability remain context dependent. Representative records: SRC224; SRC225; SRC248.</x:v>
      </x:c>
      <x:c r="Z42" s="43" t="str">
        <x:v>Treating reciprocity, trust, fairness, and cooperation as interchangeable or attributing group outcomes to personality alone.</x:v>
      </x:c>
      <x:c r="AA42" s="43" t="str">
        <x:v>SRC224; SRC225; SRC248</x:v>
      </x:c>
    </x:row>
    <x:row r="43" ht="76" customHeight="1">
      <x:c r="A43" s="43" t="str">
        <x:v>SOC-039</x:v>
      </x:c>
      <x:c r="B43" s="43" t="str">
        <x:v>Free-Riding Prevalence</x:v>
      </x:c>
      <x:c r="C43" s="43" t="str">
        <x:v>Noncontribution rate; social loafing prevalence; exploitation rate</x:v>
      </x:c>
      <x:c r="D43" s="43" t="str">
        <x:v>Social</x:v>
      </x:c>
      <x:c r="E43" s="43" t="str">
        <x:v>Cooperation, Reciprocity &amp; Mutual Dependence</x:v>
      </x:c>
      <x:c r="F43" s="43" t="str">
        <x:v>The proportion of eligible actors who obtain benefits from a collective provision while contributing less than the specified expected share.</x:v>
      </x:c>
      <x:c r="G43" s="43" t="str">
        <x:v>Proportion</x:v>
      </x:c>
      <x:c r="H43" s="43" t="str">
        <x:v>0–1 free-rider proportion; noncontribution-opportunity rate</x:v>
      </x:c>
      <x:c r="I43" s="43" t="str">
        <x:v>Higher values = more prevalent undercontribution relative to the stated expectation.</x:v>
      </x:c>
      <x:c r="J43" s="43" t="str">
        <x:v>Raises the burden on contributors and can reduce cooperation through inequity, pessimistic expectations, or retaliatory withdrawal.</x:v>
      </x:c>
      <x:c r="K43" s="43" t="str">
        <x:v>Repeated exchange; partner choice; reputation; incentives; resource scarcity; monitoring; prior cooperation</x:v>
      </x:c>
      <x:c r="L43" s="43" t="str">
        <x:v>Trust updating; future cooperation; contribution; sanctioning; relationship persistence; collective capacity</x:v>
      </x:c>
      <x:c r="M43" s="43" t="str">
        <x:v>Conflict of interest, interaction horizon, group size, anonymity, inequality, communication, and enforcement options.</x:v>
      </x:c>
      <x:c r="N43" s="43" t="str">
        <x:v>Partner Reliability; Reciprocity Balance; Repeated Interaction Probability; Free-Riding Prevalence</x:v>
      </x:c>
      <x:c r="O43" s="43" t="str">
        <x:v>Moderate</x:v>
      </x:c>
      <x:c r="P43" s="43" t="str">
        <x:v>Moderate</x:v>
      </x:c>
      <x:c r="Q43" s="43" t="str">
        <x:v>Days–Weeks</x:v>
      </x:c>
      <x:c r="R43" s="43" t="str">
        <x:v>Minutes–Hours</x:v>
      </x:c>
      <x:c r="S43" s="43" t="str">
        <x:v>May stabilize through repeated exchange and reputation, yet can unravel quickly after defection.</x:v>
      </x:c>
      <x:c r="T43" s="43" t="str">
        <x:v>Contribution shortfall; noncontributor count; benefit-without-contribution events</x:v>
      </x:c>
      <x:c r="U43" s="43" t="str">
        <x:v>Repeated-game task; transaction record; behavioral observation; partner report; resource-flow network</x:v>
      </x:c>
      <x:c r="V43" s="43" t="str">
        <x:v>Moderate</x:v>
      </x:c>
      <x:c r="W43" s="43" t="str">
        <x:v>Observed cooperation can reflect incentives, constraint, selection, or reputation rather than a stable cooperative disposition.</x:v>
      </x:c>
      <x:c r="X43" s="43" t="str">
        <x:v>Strong</x:v>
      </x:c>
      <x:c r="Y43" s="43" t="str">
        <x:v>Supported by converging review, meta-analytic, experimental, network, or longitudinal evidence. Specific effects and causal interpretation remain conditional on level, context, boundary, and measurement. Representative records: SRC225; SRC226; SRC240.</x:v>
      </x:c>
      <x:c r="Z43" s="43" t="str">
        <x:v>Treating reciprocity, trust, fairness, and cooperation as interchangeable or attributing group outcomes to personality alone.</x:v>
      </x:c>
      <x:c r="AA43" s="43" t="str">
        <x:v>SRC225; SRC226; SRC240</x:v>
      </x:c>
    </x:row>
    <x:row r="44" ht="76" customHeight="1">
      <x:c r="A44" s="43" t="str">
        <x:v>SOC-040</x:v>
      </x:c>
      <x:c r="B44" s="43" t="str">
        <x:v>Status Rank</x:v>
      </x:c>
      <x:c r="C44" s="43" t="str">
        <x:v>Social rank; prestige rank; standing in hierarchy</x:v>
      </x:c>
      <x:c r="D44" s="43" t="str">
        <x:v>Social</x:v>
      </x:c>
      <x:c r="E44" s="43" t="str">
        <x:v>Status, Reputation &amp; Relational Power</x:v>
      </x:c>
      <x:c r="F44" s="43" t="str">
        <x:v>An actor's ordinal position in a specified socially recognized hierarchy of respect, prestige, or esteem.</x:v>
      </x:c>
      <x:c r="G44" s="43" t="str">
        <x:v>Ordinal</x:v>
      </x:c>
      <x:c r="H44" s="43" t="str">
        <x:v>Ordered rank; percentile; sociometric status category</x:v>
      </x:c>
      <x:c r="I44" s="43" t="str">
        <x:v>Higher values = a higher socially recognized position in the specified hierarchy.</x:v>
      </x:c>
      <x:c r="J44" s="43" t="str">
        <x:v>Changes access to attention, deference, partners, and valued resources and alters whose behavior becomes influential.</x:v>
      </x:c>
      <x:c r="K44" s="43" t="str">
        <x:v>Group recognition; performance history; resource allocation; network position; reputation transmission; role emergence</x:v>
      </x:c>
      <x:c r="L44" s="43" t="str">
        <x:v>Attention and deference; influence; access to resources; compliance; speaking time; partner choice; mobility</x:v>
      </x:c>
      <x:c r="M44" s="43" t="str">
        <x:v>Legitimacy, task relevance, culture, hierarchy stability, accountability, dependence, and formal versus informal authority.</x:v>
      </x:c>
      <x:c r="N44" s="43" t="str">
        <x:v>Status Rank; Reputation Valence; Resource Control Asymmetry; Informal Authority Strength</x:v>
      </x:c>
      <x:c r="O44" s="43" t="str">
        <x:v>Low</x:v>
      </x:c>
      <x:c r="P44" s="43" t="str">
        <x:v>Low</x:v>
      </x:c>
      <x:c r="Q44" s="43" t="str">
        <x:v>Weeks–Months; Months–Years</x:v>
      </x:c>
      <x:c r="R44" s="43" t="str">
        <x:v>Minutes–Hours</x:v>
      </x:c>
      <x:c r="S44" s="43" t="str">
        <x:v>Usually persistent within a stable group but can change abruptly after turnover, failure, or reallocation.</x:v>
      </x:c>
      <x:c r="T44" s="43" t="str">
        <x:v>Sociometric nominations; deference patterns; prestige ranking; speaking priority</x:v>
      </x:c>
      <x:c r="U44" s="43" t="str">
        <x:v>Sociometric rank; deference coding; resource-control mapping; reputation nomination; longitudinal mobility analysis</x:v>
      </x:c>
      <x:c r="V44" s="43" t="str">
        <x:v>Moderate</x:v>
      </x:c>
      <x:c r="W44" s="43" t="str">
        <x:v>Power, status, reputation, authority, and centrality are distinct; rankings are relation- and domain-specific.</x:v>
      </x:c>
      <x:c r="X44" s="43" t="str">
        <x:v>Strong</x:v>
      </x:c>
      <x:c r="Y44" s="43" t="str">
        <x:v>Supported by converging review, meta-analytic, experimental, network, or longitudinal evidence. Specific effects and causal interpretation remain conditional on level, context, boundary, and measurement. Representative records: SRC227; SRC228; SRC258.</x:v>
      </x:c>
      <x:c r="Z44" s="43" t="str">
        <x:v>Treating high status as a personal essence, moral worth, or the same construct as formal office, perceived status, or social power.</x:v>
      </x:c>
      <x:c r="AA44" s="43" t="str">
        <x:v>SRC227; SRC228; SRC258</x:v>
      </x:c>
    </x:row>
    <x:row r="45" ht="76" customHeight="1">
      <x:c r="A45" s="43" t="str">
        <x:v>SOC-041</x:v>
      </x:c>
      <x:c r="B45" s="43" t="str">
        <x:v>Status Hierarchy Steepness</x:v>
      </x:c>
      <x:c r="C45" s="43" t="str">
        <x:v>Rank inequality; status differentiation; hierarchy slope</x:v>
      </x:c>
      <x:c r="D45" s="43" t="str">
        <x:v>Social</x:v>
      </x:c>
      <x:c r="E45" s="43" t="str">
        <x:v>Status, Reputation &amp; Relational Power</x:v>
      </x:c>
      <x:c r="F45" s="43" t="str">
        <x:v>The magnitude of differences in socially conferred status among members of a specified group.</x:v>
      </x:c>
      <x:c r="G45" s="43" t="str">
        <x:v>Magnitude / level</x:v>
      </x:c>
      <x:c r="H45" s="43" t="str">
        <x:v>Rank-score dispersion; top-to-bottom gap; low–high hierarchy steepness</x:v>
      </x:c>
      <x:c r="I45" s="43" t="str">
        <x:v>Higher values = larger status differences within the group.</x:v>
      </x:c>
      <x:c r="J45" s="43" t="str">
        <x:v>Concentrates attention and influence and can increase coordination clarity or suppress participation depending on legitimacy and task.</x:v>
      </x:c>
      <x:c r="K45" s="43" t="str">
        <x:v>Group recognition; performance history; resource allocation; network position; reputation transmission; role emergence</x:v>
      </x:c>
      <x:c r="L45" s="43" t="str">
        <x:v>Attention and deference; influence; access to resources; compliance; speaking time; partner choice; mobility</x:v>
      </x:c>
      <x:c r="M45" s="43" t="str">
        <x:v>Legitimacy, task relevance, culture, hierarchy stability, accountability, dependence, and formal versus informal authority.</x:v>
      </x:c>
      <x:c r="N45" s="43" t="str">
        <x:v>Status Rank; Reputation Valence; Resource Control Asymmetry; Informal Authority Strength</x:v>
      </x:c>
      <x:c r="O45" s="43" t="str">
        <x:v>Low</x:v>
      </x:c>
      <x:c r="P45" s="43" t="str">
        <x:v>Low</x:v>
      </x:c>
      <x:c r="Q45" s="43" t="str">
        <x:v>Weeks–Months; Months–Years</x:v>
      </x:c>
      <x:c r="R45" s="43" t="str">
        <x:v>Minutes–Hours</x:v>
      </x:c>
      <x:c r="S45" s="43" t="str">
        <x:v>Usually persistent within a stable group but can change abruptly after turnover, failure, or reallocation.</x:v>
      </x:c>
      <x:c r="T45" s="43" t="str">
        <x:v>Status-score variance; deference concentration; rank gap</x:v>
      </x:c>
      <x:c r="U45" s="43" t="str">
        <x:v>Sociometric rank; deference coding; resource-control mapping; reputation nomination; longitudinal mobility analysis</x:v>
      </x:c>
      <x:c r="V45" s="43" t="str">
        <x:v>Moderate</x:v>
      </x:c>
      <x:c r="W45" s="43" t="str">
        <x:v>Power, status, reputation, authority, and centrality are distinct; rankings are relation- and domain-specific.</x:v>
      </x:c>
      <x:c r="X45" s="43" t="str">
        <x:v>Moderate</x:v>
      </x:c>
      <x:c r="Y45" s="43" t="str">
        <x:v>Scientifically defensible with substantial supporting literature, while construct boundaries, causal identification, measurement, or transferability remain context dependent. Representative records: SRC228; SRC258.</x:v>
      </x:c>
      <x:c r="Z45" s="43" t="str">
        <x:v>Treating high status as a personal essence, moral worth, or the same construct as formal office, perceived status, or social power.</x:v>
      </x:c>
      <x:c r="AA45" s="43" t="str">
        <x:v>SRC228; SRC258</x:v>
      </x:c>
    </x:row>
    <x:row r="46" ht="76" customHeight="1">
      <x:c r="A46" s="43" t="str">
        <x:v>SOC-042</x:v>
      </x:c>
      <x:c r="B46" s="43" t="str">
        <x:v>Status Mobility Rate</x:v>
      </x:c>
      <x:c r="C46" s="43" t="str">
        <x:v>Rank mobility; status turnover; hierarchy fluidity</x:v>
      </x:c>
      <x:c r="D46" s="43" t="str">
        <x:v>Social</x:v>
      </x:c>
      <x:c r="E46" s="43" t="str">
        <x:v>Status, Reputation &amp; Relational Power</x:v>
      </x:c>
      <x:c r="F46" s="43" t="str">
        <x:v>The rate at which actors change ordinal positions within a specified social-status hierarchy.</x:v>
      </x:c>
      <x:c r="G46" s="43" t="str">
        <x:v>Rate</x:v>
      </x:c>
      <x:c r="H46" s="43" t="str">
        <x:v>Rank changes per period; transition probability; mobility index</x:v>
      </x:c>
      <x:c r="I46" s="43" t="str">
        <x:v>Higher values = more frequent or larger status-position changes.</x:v>
      </x:c>
      <x:c r="J46" s="43" t="str">
        <x:v>Changes incentives for signaling, alliance formation, deference, and contestation by altering the stability of rank.</x:v>
      </x:c>
      <x:c r="K46" s="43" t="str">
        <x:v>Group recognition; performance history; resource allocation; network position; reputation transmission; role emergence</x:v>
      </x:c>
      <x:c r="L46" s="43" t="str">
        <x:v>Attention and deference; influence; access to resources; compliance; speaking time; partner choice; mobility</x:v>
      </x:c>
      <x:c r="M46" s="43" t="str">
        <x:v>Legitimacy, task relevance, culture, hierarchy stability, accountability, dependence, and formal versus informal authority.</x:v>
      </x:c>
      <x:c r="N46" s="43" t="str">
        <x:v>Status Rank; Reputation Valence; Resource Control Asymmetry; Informal Authority Strength</x:v>
      </x:c>
      <x:c r="O46" s="43" t="str">
        <x:v>Low</x:v>
      </x:c>
      <x:c r="P46" s="43" t="str">
        <x:v>Low</x:v>
      </x:c>
      <x:c r="Q46" s="43" t="str">
        <x:v>Weeks–Months; Months–Years</x:v>
      </x:c>
      <x:c r="R46" s="43" t="str">
        <x:v>Minutes–Hours</x:v>
      </x:c>
      <x:c r="S46" s="43" t="str">
        <x:v>Usually persistent within a stable group but can change abruptly after turnover, failure, or reallocation.</x:v>
      </x:c>
      <x:c r="T46" s="43" t="str">
        <x:v>Rank transitions; promotion or demotion events; mobility matrix</x:v>
      </x:c>
      <x:c r="U46" s="43" t="str">
        <x:v>Sociometric rank; deference coding; resource-control mapping; reputation nomination; longitudinal mobility analysis</x:v>
      </x:c>
      <x:c r="V46" s="43" t="str">
        <x:v>Moderate</x:v>
      </x:c>
      <x:c r="W46" s="43" t="str">
        <x:v>Power, status, reputation, authority, and centrality are distinct; rankings are relation- and domain-specific.</x:v>
      </x:c>
      <x:c r="X46" s="43" t="str">
        <x:v>Moderate</x:v>
      </x:c>
      <x:c r="Y46" s="43" t="str">
        <x:v>Scientifically defensible with substantial supporting literature, while construct boundaries, causal identification, measurement, or transferability remain context dependent. Representative records: SRC227; SRC228; SRC258.</x:v>
      </x:c>
      <x:c r="Z46" s="43" t="str">
        <x:v>Treating high status as a personal essence, moral worth, or the same construct as formal office, perceived status, or social power.</x:v>
      </x:c>
      <x:c r="AA46" s="43" t="str">
        <x:v>SRC227; SRC228; SRC258</x:v>
      </x:c>
    </x:row>
    <x:row r="47" ht="76" customHeight="1">
      <x:c r="A47" s="43" t="str">
        <x:v>SOC-043</x:v>
      </x:c>
      <x:c r="B47" s="43" t="str">
        <x:v>Reputation Valence</x:v>
      </x:c>
      <x:c r="C47" s="43" t="str">
        <x:v>Social reputation; collective evaluation; standing valence</x:v>
      </x:c>
      <x:c r="D47" s="43" t="str">
        <x:v>Social</x:v>
      </x:c>
      <x:c r="E47" s="43" t="str">
        <x:v>Status, Reputation &amp; Relational Power</x:v>
      </x:c>
      <x:c r="F47" s="43" t="str">
        <x:v>The aggregate positive or negative evaluation of an actor held or expressed by members of a specified social audience.</x:v>
      </x:c>
      <x:c r="G47" s="43" t="str">
        <x:v>Bipolar continuous</x:v>
      </x:c>
      <x:c r="H47" s="43" t="str">
        <x:v>Negative–neutral–positive reputation score; favorable-mention proportion</x:v>
      </x:c>
      <x:c r="I47" s="43" t="str">
        <x:v>Negative values = unfavorable collective evaluation; positive values = favorable evaluation.</x:v>
      </x:c>
      <x:c r="J47" s="43" t="str">
        <x:v>Affects partner choice, trust, support, sanction, and deference by making prior conduct socially portable.</x:v>
      </x:c>
      <x:c r="K47" s="43" t="str">
        <x:v>Group recognition; performance history; resource allocation; network position; reputation transmission; role emergence</x:v>
      </x:c>
      <x:c r="L47" s="43" t="str">
        <x:v>Attention and deference; influence; access to resources; compliance; speaking time; partner choice; mobility</x:v>
      </x:c>
      <x:c r="M47" s="43" t="str">
        <x:v>Legitimacy, task relevance, culture, hierarchy stability, accountability, dependence, and formal versus informal authority.</x:v>
      </x:c>
      <x:c r="N47" s="43" t="str">
        <x:v>Status Rank; Reputation Valence; Resource Control Asymmetry; Informal Authority Strength</x:v>
      </x:c>
      <x:c r="O47" s="43" t="str">
        <x:v>Low</x:v>
      </x:c>
      <x:c r="P47" s="43" t="str">
        <x:v>Low</x:v>
      </x:c>
      <x:c r="Q47" s="43" t="str">
        <x:v>Weeks–Months; Months–Years</x:v>
      </x:c>
      <x:c r="R47" s="43" t="str">
        <x:v>Minutes–Hours</x:v>
      </x:c>
      <x:c r="S47" s="43" t="str">
        <x:v>Usually persistent within a stable group but can change abruptly after turnover, failure, or reallocation.</x:v>
      </x:c>
      <x:c r="T47" s="43" t="str">
        <x:v>Peer nominations; evaluative statements; recommendation rate; gossip valence</x:v>
      </x:c>
      <x:c r="U47" s="43" t="str">
        <x:v>Sociometric rank; deference coding; resource-control mapping; reputation nomination; longitudinal mobility analysis</x:v>
      </x:c>
      <x:c r="V47" s="43" t="str">
        <x:v>Moderate</x:v>
      </x:c>
      <x:c r="W47" s="43" t="str">
        <x:v>Power, status, reputation, authority, and centrality are distinct; rankings are relation- and domain-specific.</x:v>
      </x:c>
      <x:c r="X47" s="43" t="str">
        <x:v>Strong</x:v>
      </x:c>
      <x:c r="Y47" s="43" t="str">
        <x:v>Supported by converging review, meta-analytic, experimental, network, or longitudinal evidence. Specific effects and causal interpretation remain conditional on level, context, boundary, and measurement. Representative records: SRC249; SRC257; SRC228.</x:v>
      </x:c>
      <x:c r="Z47" s="43" t="str">
        <x:v>Treating high status as a personal essence, moral worth, or the same construct as formal office, perceived status, or social power.</x:v>
      </x:c>
      <x:c r="AA47" s="43" t="str">
        <x:v>SRC249; SRC257; SRC228</x:v>
      </x:c>
    </x:row>
    <x:row r="48" ht="76" customHeight="1">
      <x:c r="A48" s="43" t="str">
        <x:v>SOC-044</x:v>
      </x:c>
      <x:c r="B48" s="43" t="str">
        <x:v>Reputation Visibility</x:v>
      </x:c>
      <x:c r="C48" s="43" t="str">
        <x:v>Reputation availability; reputational transparency; public track record</x:v>
      </x:c>
      <x:c r="D48" s="43" t="str">
        <x:v>Social</x:v>
      </x:c>
      <x:c r="E48" s="43" t="str">
        <x:v>Status, Reputation &amp; Relational Power</x:v>
      </x:c>
      <x:c r="F48" s="43" t="str">
        <x:v>The proportion of a relevant audience that has access to credible information about an actor's prior social conduct.</x:v>
      </x:c>
      <x:c r="G48" s="43" t="str">
        <x:v>Proportion</x:v>
      </x:c>
      <x:c r="H48" s="43" t="str">
        <x:v>0–1 audience coverage; low–high track-record visibility</x:v>
      </x:c>
      <x:c r="I48" s="43" t="str">
        <x:v>Higher values = wider audience access to the actor's prior conduct or standing.</x:v>
      </x:c>
      <x:c r="J48" s="43" t="str">
        <x:v>Extends the consequences of conduct beyond direct partners and enables reputation-based partner choice and indirect reciprocity.</x:v>
      </x:c>
      <x:c r="K48" s="43" t="str">
        <x:v>Group recognition; performance history; resource allocation; network position; reputation transmission; role emergence</x:v>
      </x:c>
      <x:c r="L48" s="43" t="str">
        <x:v>Attention and deference; influence; access to resources; compliance; speaking time; partner choice; mobility</x:v>
      </x:c>
      <x:c r="M48" s="43" t="str">
        <x:v>Legitimacy, task relevance, culture, hierarchy stability, accountability, dependence, and formal versus informal authority.</x:v>
      </x:c>
      <x:c r="N48" s="43" t="str">
        <x:v>Status Rank; Reputation Valence; Resource Control Asymmetry; Informal Authority Strength</x:v>
      </x:c>
      <x:c r="O48" s="43" t="str">
        <x:v>Low</x:v>
      </x:c>
      <x:c r="P48" s="43" t="str">
        <x:v>Low</x:v>
      </x:c>
      <x:c r="Q48" s="43" t="str">
        <x:v>Weeks–Months; Months–Years</x:v>
      </x:c>
      <x:c r="R48" s="43" t="str">
        <x:v>Minutes–Hours</x:v>
      </x:c>
      <x:c r="S48" s="43" t="str">
        <x:v>Usually persistent within a stable group but can change abruptly after turnover, failure, or reallocation.</x:v>
      </x:c>
      <x:c r="T48" s="43" t="str">
        <x:v>Audience reach; profile visibility; gossip coverage; known-history proportion</x:v>
      </x:c>
      <x:c r="U48" s="43" t="str">
        <x:v>Sociometric rank; deference coding; resource-control mapping; reputation nomination; longitudinal mobility analysis</x:v>
      </x:c>
      <x:c r="V48" s="43" t="str">
        <x:v>Moderate</x:v>
      </x:c>
      <x:c r="W48" s="43" t="str">
        <x:v>Power, status, reputation, authority, and centrality are distinct; rankings are relation- and domain-specific.</x:v>
      </x:c>
      <x:c r="X48" s="43" t="str">
        <x:v>Strong</x:v>
      </x:c>
      <x:c r="Y48" s="43" t="str">
        <x:v>Supported by converging review, meta-analytic, experimental, network, or longitudinal evidence. Specific effects and causal interpretation remain conditional on level, context, boundary, and measurement. Representative records: SRC249; SRC257.</x:v>
      </x:c>
      <x:c r="Z48" s="43" t="str">
        <x:v>Treating high status as a personal essence, moral worth, or the same construct as formal office, perceived status, or social power.</x:v>
      </x:c>
      <x:c r="AA48" s="43" t="str">
        <x:v>SRC249; SRC257</x:v>
      </x:c>
    </x:row>
    <x:row r="49" ht="76" customHeight="1">
      <x:c r="A49" s="43" t="str">
        <x:v>SOC-045</x:v>
      </x:c>
      <x:c r="B49" s="43" t="str">
        <x:v>Deference Received</x:v>
      </x:c>
      <x:c r="C49" s="43" t="str">
        <x:v>Behavioral deference; yielded influence; conceded priority</x:v>
      </x:c>
      <x:c r="D49" s="43" t="str">
        <x:v>Social</x:v>
      </x:c>
      <x:c r="E49" s="43" t="str">
        <x:v>Status, Reputation &amp; Relational Power</x:v>
      </x:c>
      <x:c r="F49" s="43" t="str">
        <x:v>The rate at which other actors yield speaking priority, decision weight, access, or choice to a specified actor.</x:v>
      </x:c>
      <x:c r="G49" s="43" t="str">
        <x:v>Rate</x:v>
      </x:c>
      <x:c r="H49" s="43" t="str">
        <x:v>Deference events per interaction; share of yielded decisions or speaking turns</x:v>
      </x:c>
      <x:c r="I49" s="43" t="str">
        <x:v>Higher values = more deference received from others.</x:v>
      </x:c>
      <x:c r="J49" s="43" t="str">
        <x:v>Reinforces status and grants practical influence over collective attention, resources, and action.</x:v>
      </x:c>
      <x:c r="K49" s="43" t="str">
        <x:v>Group recognition; performance history; resource allocation; network position; reputation transmission; role emergence</x:v>
      </x:c>
      <x:c r="L49" s="43" t="str">
        <x:v>Attention and deference; influence; access to resources; compliance; speaking time; partner choice; mobility</x:v>
      </x:c>
      <x:c r="M49" s="43" t="str">
        <x:v>Legitimacy, task relevance, culture, hierarchy stability, accountability, dependence, and formal versus informal authority.</x:v>
      </x:c>
      <x:c r="N49" s="43" t="str">
        <x:v>Status Rank; Reputation Valence; Resource Control Asymmetry; Informal Authority Strength</x:v>
      </x:c>
      <x:c r="O49" s="43" t="str">
        <x:v>Low</x:v>
      </x:c>
      <x:c r="P49" s="43" t="str">
        <x:v>Low</x:v>
      </x:c>
      <x:c r="Q49" s="43" t="str">
        <x:v>Weeks–Months; Months–Years</x:v>
      </x:c>
      <x:c r="R49" s="43" t="str">
        <x:v>Minutes–Hours</x:v>
      </x:c>
      <x:c r="S49" s="43" t="str">
        <x:v>Usually persistent within a stable group but can change abruptly after turnover, failure, or reallocation.</x:v>
      </x:c>
      <x:c r="T49" s="43" t="str">
        <x:v>Turn yielding; decision acceptance; preferential access; unsolicited following</x:v>
      </x:c>
      <x:c r="U49" s="43" t="str">
        <x:v>Sociometric rank; deference coding; resource-control mapping; reputation nomination; longitudinal mobility analysis</x:v>
      </x:c>
      <x:c r="V49" s="43" t="str">
        <x:v>Moderate</x:v>
      </x:c>
      <x:c r="W49" s="43" t="str">
        <x:v>Power, status, reputation, authority, and centrality are distinct; rankings are relation- and domain-specific.</x:v>
      </x:c>
      <x:c r="X49" s="43" t="str">
        <x:v>Moderate</x:v>
      </x:c>
      <x:c r="Y49" s="43" t="str">
        <x:v>Scientifically defensible with substantial supporting literature, while construct boundaries, causal identification, measurement, or transferability remain context dependent. Representative records: SRC227; SRC228; SRC258.</x:v>
      </x:c>
      <x:c r="Z49" s="43" t="str">
        <x:v>Treating high status as a personal essence, moral worth, or the same construct as formal office, perceived status, or social power.</x:v>
      </x:c>
      <x:c r="AA49" s="43" t="str">
        <x:v>SRC227; SRC228; SRC258</x:v>
      </x:c>
    </x:row>
    <x:row r="50" ht="76" customHeight="1">
      <x:c r="A50" s="43" t="str">
        <x:v>SOC-046</x:v>
      </x:c>
      <x:c r="B50" s="43" t="str">
        <x:v>Resource Control Asymmetry</x:v>
      </x:c>
      <x:c r="C50" s="43" t="str">
        <x:v>Social power; control imbalance; resource dependence power</x:v>
      </x:c>
      <x:c r="D50" s="43" t="str">
        <x:v>Social</x:v>
      </x:c>
      <x:c r="E50" s="43" t="str">
        <x:v>Status, Reputation &amp; Relational Power</x:v>
      </x:c>
      <x:c r="F50" s="43" t="str">
        <x:v>The degree to which one actor controls valued resources needed by another more than the reverse.</x:v>
      </x:c>
      <x:c r="G50" s="43" t="str">
        <x:v>Bipolar continuous</x:v>
      </x:c>
      <x:c r="H50" s="43" t="str">
        <x:v>Negative = other controls more; zero = balanced; positive = focal actor controls more</x:v>
      </x:c>
      <x:c r="I50" s="43" t="str">
        <x:v>Movement away from zero = greater directional asymmetry in resource control.</x:v>
      </x:c>
      <x:c r="J50" s="43" t="str">
        <x:v>Changes dependence and feasible choice by allowing the resource controller to reward, withhold, or condition access.</x:v>
      </x:c>
      <x:c r="K50" s="43" t="str">
        <x:v>Group recognition; performance history; resource allocation; network position; reputation transmission; role emergence</x:v>
      </x:c>
      <x:c r="L50" s="43" t="str">
        <x:v>Attention and deference; influence; access to resources; compliance; speaking time; partner choice; mobility</x:v>
      </x:c>
      <x:c r="M50" s="43" t="str">
        <x:v>Legitimacy, task relevance, culture, hierarchy stability, accountability, dependence, and formal versus informal authority.</x:v>
      </x:c>
      <x:c r="N50" s="43" t="str">
        <x:v>Status Rank; Reputation Valence; Resource Control Asymmetry; Informal Authority Strength</x:v>
      </x:c>
      <x:c r="O50" s="43" t="str">
        <x:v>Low</x:v>
      </x:c>
      <x:c r="P50" s="43" t="str">
        <x:v>Low</x:v>
      </x:c>
      <x:c r="Q50" s="43" t="str">
        <x:v>Weeks–Months; Months–Years</x:v>
      </x:c>
      <x:c r="R50" s="43" t="str">
        <x:v>Minutes–Hours</x:v>
      </x:c>
      <x:c r="S50" s="43" t="str">
        <x:v>Usually persistent within a stable group but can change abruptly after turnover, failure, or reallocation.</x:v>
      </x:c>
      <x:c r="T50" s="43" t="str">
        <x:v>Control of funds, information, access, labor, or opportunities; alternatives available</x:v>
      </x:c>
      <x:c r="U50" s="43" t="str">
        <x:v>Sociometric rank; deference coding; resource-control mapping; reputation nomination; longitudinal mobility analysis</x:v>
      </x:c>
      <x:c r="V50" s="43" t="str">
        <x:v>Moderate</x:v>
      </x:c>
      <x:c r="W50" s="43" t="str">
        <x:v>Power, status, reputation, authority, and centrality are distinct; rankings are relation- and domain-specific.</x:v>
      </x:c>
      <x:c r="X50" s="43" t="str">
        <x:v>Strong</x:v>
      </x:c>
      <x:c r="Y50" s="43" t="str">
        <x:v>Supported by converging review, meta-analytic, experimental, network, or longitudinal evidence. Specific effects and causal interpretation remain conditional on level, context, boundary, and measurement. Representative records: SRC228; SRC246; SRC258.</x:v>
      </x:c>
      <x:c r="Z50" s="43" t="str">
        <x:v>Treating high status as a personal essence, moral worth, or the same construct as formal office, perceived status, or social power.</x:v>
      </x:c>
      <x:c r="AA50" s="43" t="str">
        <x:v>SRC228; SRC246; SRC258</x:v>
      </x:c>
    </x:row>
    <x:row r="51" ht="76" customHeight="1">
      <x:c r="A51" s="43" t="str">
        <x:v>SOC-047</x:v>
      </x:c>
      <x:c r="B51" s="43" t="str">
        <x:v>Dependence Asymmetry</x:v>
      </x:c>
      <x:c r="C51" s="43" t="str">
        <x:v>Power-dependence imbalance; relational dependence; asymmetric need</x:v>
      </x:c>
      <x:c r="D51" s="43" t="str">
        <x:v>Social</x:v>
      </x:c>
      <x:c r="E51" s="43" t="str">
        <x:v>Status, Reputation &amp; Relational Power</x:v>
      </x:c>
      <x:c r="F51" s="43" t="str">
        <x:v>The signed difference between how much two actors depend on their relationship to attain valued outcomes.</x:v>
      </x:c>
      <x:c r="G51" s="43" t="str">
        <x:v>Bipolar continuous</x:v>
      </x:c>
      <x:c r="H51" s="43" t="str">
        <x:v>Negative = focal actor more dependent; zero = balanced; positive = other actor more dependent</x:v>
      </x:c>
      <x:c r="I51" s="43" t="str">
        <x:v>Larger absolute values = greater dependence imbalance; sign indicates direction.</x:v>
      </x:c>
      <x:c r="J51" s="43" t="str">
        <x:v>Gives the less dependent actor bargaining leverage and changes compliance, exit, and conflict options.</x:v>
      </x:c>
      <x:c r="K51" s="43" t="str">
        <x:v>Group recognition; performance history; resource allocation; network position; reputation transmission; role emergence</x:v>
      </x:c>
      <x:c r="L51" s="43" t="str">
        <x:v>Attention and deference; influence; access to resources; compliance; speaking time; partner choice; mobility</x:v>
      </x:c>
      <x:c r="M51" s="43" t="str">
        <x:v>Legitimacy, task relevance, culture, hierarchy stability, accountability, dependence, and formal versus informal authority.</x:v>
      </x:c>
      <x:c r="N51" s="43" t="str">
        <x:v>Status Rank; Reputation Valence; Resource Control Asymmetry; Informal Authority Strength</x:v>
      </x:c>
      <x:c r="O51" s="43" t="str">
        <x:v>Low</x:v>
      </x:c>
      <x:c r="P51" s="43" t="str">
        <x:v>Low</x:v>
      </x:c>
      <x:c r="Q51" s="43" t="str">
        <x:v>Weeks–Months; Months–Years</x:v>
      </x:c>
      <x:c r="R51" s="43" t="str">
        <x:v>Minutes–Hours</x:v>
      </x:c>
      <x:c r="S51" s="43" t="str">
        <x:v>Usually persistent within a stable group but can change abruptly after turnover, failure, or reallocation.</x:v>
      </x:c>
      <x:c r="T51" s="43" t="str">
        <x:v>Alternative partners; switching cost; relationship-specific resource share</x:v>
      </x:c>
      <x:c r="U51" s="43" t="str">
        <x:v>Sociometric rank; deference coding; resource-control mapping; reputation nomination; longitudinal mobility analysis</x:v>
      </x:c>
      <x:c r="V51" s="43" t="str">
        <x:v>Moderate</x:v>
      </x:c>
      <x:c r="W51" s="43" t="str">
        <x:v>Power, status, reputation, authority, and centrality are distinct; rankings are relation- and domain-specific.</x:v>
      </x:c>
      <x:c r="X51" s="43" t="str">
        <x:v>Moderate</x:v>
      </x:c>
      <x:c r="Y51" s="43" t="str">
        <x:v>Scientifically defensible with substantial supporting literature, while construct boundaries, causal identification, measurement, or transferability remain context dependent. Representative records: SRC228; SRC246; SRC258.</x:v>
      </x:c>
      <x:c r="Z51" s="43" t="str">
        <x:v>Treating high status as a personal essence, moral worth, or the same construct as formal office, perceived status, or social power.</x:v>
      </x:c>
      <x:c r="AA51" s="43" t="str">
        <x:v>SRC228; SRC246; SRC258</x:v>
      </x:c>
    </x:row>
    <x:row r="52" ht="76" customHeight="1">
      <x:c r="A52" s="43" t="str">
        <x:v>SOC-048</x:v>
      </x:c>
      <x:c r="B52" s="43" t="str">
        <x:v>Informal Authority Strength</x:v>
      </x:c>
      <x:c r="C52" s="43" t="str">
        <x:v>Emergent leadership; socially recognized authority; nonformal authority</x:v>
      </x:c>
      <x:c r="D52" s="43" t="str">
        <x:v>Social</x:v>
      </x:c>
      <x:c r="E52" s="43" t="str">
        <x:v>Status, Reputation &amp; Relational Power</x:v>
      </x:c>
      <x:c r="F52" s="43" t="str">
        <x:v>The degree to which group members accept a specified person's directives as appropriately guiding group action absent reliance solely on formal office.</x:v>
      </x:c>
      <x:c r="G52" s="43" t="str">
        <x:v>Magnitude / level</x:v>
      </x:c>
      <x:c r="H52" s="43" t="str">
        <x:v>Low–high accepted influence; directive-following proportion; sociometric leadership score</x:v>
      </x:c>
      <x:c r="I52" s="43" t="str">
        <x:v>Higher values = stronger socially recognized informal authority.</x:v>
      </x:c>
      <x:c r="J52" s="43" t="str">
        <x:v>Coordinates action by concentrating decision guidance and creating shared expectations about whose direction will be followed.</x:v>
      </x:c>
      <x:c r="K52" s="43" t="str">
        <x:v>Group recognition; performance history; resource allocation; network position; reputation transmission; role emergence</x:v>
      </x:c>
      <x:c r="L52" s="43" t="str">
        <x:v>Attention and deference; influence; access to resources; compliance; speaking time; partner choice; mobility</x:v>
      </x:c>
      <x:c r="M52" s="43" t="str">
        <x:v>Legitimacy, task relevance, culture, hierarchy stability, accountability, dependence, and formal versus informal authority.</x:v>
      </x:c>
      <x:c r="N52" s="43" t="str">
        <x:v>Status Rank; Reputation Valence; Resource Control Asymmetry; Informal Authority Strength</x:v>
      </x:c>
      <x:c r="O52" s="43" t="str">
        <x:v>Low</x:v>
      </x:c>
      <x:c r="P52" s="43" t="str">
        <x:v>Low</x:v>
      </x:c>
      <x:c r="Q52" s="43" t="str">
        <x:v>Weeks–Months; Months–Years</x:v>
      </x:c>
      <x:c r="R52" s="43" t="str">
        <x:v>Minutes–Hours</x:v>
      </x:c>
      <x:c r="S52" s="43" t="str">
        <x:v>Usually persistent within a stable group but can change abruptly after turnover, failure, or reallocation.</x:v>
      </x:c>
      <x:c r="T52" s="43" t="str">
        <x:v>Leadership nominations; directive uptake; unsolicited consultation; coordination following</x:v>
      </x:c>
      <x:c r="U52" s="43" t="str">
        <x:v>Sociometric rank; deference coding; resource-control mapping; reputation nomination; longitudinal mobility analysis</x:v>
      </x:c>
      <x:c r="V52" s="43" t="str">
        <x:v>Moderate</x:v>
      </x:c>
      <x:c r="W52" s="43" t="str">
        <x:v>Power, status, reputation, authority, and centrality are distinct; rankings are relation- and domain-specific.</x:v>
      </x:c>
      <x:c r="X52" s="43" t="str">
        <x:v>Moderate</x:v>
      </x:c>
      <x:c r="Y52" s="43" t="str">
        <x:v>Scientifically defensible with substantial supporting literature, while construct boundaries, causal identification, measurement, or transferability remain context dependent. Representative records: SRC228; SRC230; SRC258.</x:v>
      </x:c>
      <x:c r="Z52" s="43" t="str">
        <x:v>Treating high status as a personal essence, moral worth, or the same construct as formal office, perceived status, or social power.</x:v>
      </x:c>
      <x:c r="AA52" s="43" t="str">
        <x:v>SRC228; SRC230; SRC258</x:v>
      </x:c>
    </x:row>
    <x:row r="53" ht="76" customHeight="1">
      <x:c r="A53" s="43" t="str">
        <x:v>SOC-049</x:v>
      </x:c>
      <x:c r="B53" s="43" t="str">
        <x:v>Degree Centrality</x:v>
      </x:c>
      <x:c r="C53" s="43" t="str">
        <x:v>Network degree; number of adjacent ties; direct connectivity</x:v>
      </x:c>
      <x:c r="D53" s="43" t="str">
        <x:v>Social</x:v>
      </x:c>
      <x:c r="E53" s="43" t="str">
        <x:v>Network Structure &amp; Position</x:v>
      </x:c>
      <x:c r="F53" s="43" t="str">
        <x:v>The number or normalized proportion of direct ties incident on an actor in a specified social network.</x:v>
      </x:c>
      <x:c r="G53" s="43" t="str">
        <x:v>Count</x:v>
      </x:c>
      <x:c r="H53" s="43" t="str">
        <x:v>Raw in-degree or out-degree; normalized degree proportion; weighted degree</x:v>
      </x:c>
      <x:c r="I53" s="43" t="str">
        <x:v>Higher values = more direct ties under the specified network definition.</x:v>
      </x:c>
      <x:c r="J53" s="43" t="str">
        <x:v>Changes direct access to people, resources, social signals, and opportunities for influence or support.</x:v>
      </x:c>
      <x:c r="K53" s="43" t="str">
        <x:v>Tie formation and dissolution; homophily; opportunity structure; organizational boundaries; mobility; platform affordances</x:v>
      </x:c>
      <x:c r="L53" s="43" t="str">
        <x:v>Reach; redundancy; brokerage; exposure; diffusion; resource access; coordination; social isolation</x:v>
      </x:c>
      <x:c r="M53" s="43" t="str">
        <x:v>Network boundary, tie definition, direction and weight, missingness, temporal aggregation, multiplexity, and actor population.</x:v>
      </x:c>
      <x:c r="N53" s="43" t="str">
        <x:v>Degree Centrality; Local Clustering; Structural Constraint; Network Segregation</x:v>
      </x:c>
      <x:c r="O53" s="43" t="str">
        <x:v>Low</x:v>
      </x:c>
      <x:c r="P53" s="43" t="str">
        <x:v>Low</x:v>
      </x:c>
      <x:c r="Q53" s="43" t="str">
        <x:v>Weeks–Months; Months–Years</x:v>
      </x:c>
      <x:c r="R53" s="43" t="str">
        <x:v>Hours–Days</x:v>
      </x:c>
      <x:c r="S53" s="43" t="str">
        <x:v>Persists while ties and network boundaries remain stable; accumulated changes can be path-dependent.</x:v>
      </x:c>
      <x:c r="T53" s="43" t="str">
        <x:v>In-degree; out-degree; weighted degree; direct-contact nominations</x:v>
      </x:c>
      <x:c r="U53" s="43" t="str">
        <x:v>Whole-network survey; digital trace with validated tie definition; roster nomination; temporal network model; graph analysis</x:v>
      </x:c>
      <x:c r="V53" s="43" t="str">
        <x:v>Moderate</x:v>
      </x:c>
      <x:c r="W53" s="43" t="str">
        <x:v>Network statistics are meaningful only relative to a defined node set, edge relation, direction, weighting, and observation window.</x:v>
      </x:c>
      <x:c r="X53" s="43" t="str">
        <x:v>Strong</x:v>
      </x:c>
      <x:c r="Y53" s="43" t="str">
        <x:v>Supported by converging review, meta-analytic, experimental, network, or longitudinal evidence. Specific effects and causal interpretation remain conditional on level, context, boundary, and measurement. Representative records: SRC233; SRC255; SRC256.</x:v>
      </x:c>
      <x:c r="Z53" s="43" t="str">
        <x:v>Interchanging centrality measures or treating a graph statistic as causal merely because it predicts an outcome.</x:v>
      </x:c>
      <x:c r="AA53" s="43" t="str">
        <x:v>SRC233; SRC255; SRC256</x:v>
      </x:c>
    </x:row>
    <x:row r="54" ht="76" customHeight="1">
      <x:c r="A54" s="43" t="str">
        <x:v>SOC-050</x:v>
      </x:c>
      <x:c r="B54" s="43" t="str">
        <x:v>Betweenness Centrality</x:v>
      </x:c>
      <x:c r="C54" s="43" t="str">
        <x:v>Brokerage centrality; shortest-path brokerage; intermediary position</x:v>
      </x:c>
      <x:c r="D54" s="43" t="str">
        <x:v>Social</x:v>
      </x:c>
      <x:c r="E54" s="43" t="str">
        <x:v>Network Structure &amp; Position</x:v>
      </x:c>
      <x:c r="F54" s="43" t="str">
        <x:v>The proportion of relevant shortest paths between other actors that pass through a specified actor in a defined network.</x:v>
      </x:c>
      <x:c r="G54" s="43" t="str">
        <x:v>Proportion</x:v>
      </x:c>
      <x:c r="H54" s="43" t="str">
        <x:v>Normalized betweenness score from 0 to 1; weighted or directed variant</x:v>
      </x:c>
      <x:c r="I54" s="43" t="str">
        <x:v>Higher values = more shortest-path brokerage opportunities.</x:v>
      </x:c>
      <x:c r="J54" s="43" t="str">
        <x:v>Can provide control or timing advantages over flows between otherwise separated actors, contingent on actual use and alternatives.</x:v>
      </x:c>
      <x:c r="K54" s="43" t="str">
        <x:v>Tie formation and dissolution; homophily; opportunity structure; organizational boundaries; mobility; platform affordances</x:v>
      </x:c>
      <x:c r="L54" s="43" t="str">
        <x:v>Reach; redundancy; brokerage; exposure; diffusion; resource access; coordination; social isolation</x:v>
      </x:c>
      <x:c r="M54" s="43" t="str">
        <x:v>Network boundary, tie definition, direction and weight, missingness, temporal aggregation, multiplexity, and actor population.</x:v>
      </x:c>
      <x:c r="N54" s="43" t="str">
        <x:v>Degree Centrality; Local Clustering; Structural Constraint; Network Segregation</x:v>
      </x:c>
      <x:c r="O54" s="43" t="str">
        <x:v>Low</x:v>
      </x:c>
      <x:c r="P54" s="43" t="str">
        <x:v>Low</x:v>
      </x:c>
      <x:c r="Q54" s="43" t="str">
        <x:v>Weeks–Months; Months–Years</x:v>
      </x:c>
      <x:c r="R54" s="43" t="str">
        <x:v>Hours–Days</x:v>
      </x:c>
      <x:c r="S54" s="43" t="str">
        <x:v>Persists while ties and network boundaries remain stable; accumulated changes can be path-dependent.</x:v>
      </x:c>
      <x:c r="T54" s="43" t="str">
        <x:v>Normalized betweenness; intermediary events; flow paths</x:v>
      </x:c>
      <x:c r="U54" s="43" t="str">
        <x:v>Whole-network survey; digital trace with validated tie definition; roster nomination; temporal network model; graph analysis</x:v>
      </x:c>
      <x:c r="V54" s="43" t="str">
        <x:v>Moderate</x:v>
      </x:c>
      <x:c r="W54" s="43" t="str">
        <x:v>Network statistics are meaningful only relative to a defined node set, edge relation, direction, weighting, and observation window.</x:v>
      </x:c>
      <x:c r="X54" s="43" t="str">
        <x:v>Strong</x:v>
      </x:c>
      <x:c r="Y54" s="43" t="str">
        <x:v>Supported by converging review, meta-analytic, experimental, network, or longitudinal evidence. Specific effects and causal interpretation remain conditional on level, context, boundary, and measurement. Representative records: SRC234; SRC255; SRC269.</x:v>
      </x:c>
      <x:c r="Z54" s="43" t="str">
        <x:v>Interchanging centrality measures or treating a graph statistic as causal merely because it predicts an outcome.</x:v>
      </x:c>
      <x:c r="AA54" s="43" t="str">
        <x:v>SRC234; SRC255; SRC269</x:v>
      </x:c>
    </x:row>
    <x:row r="55" ht="76" customHeight="1">
      <x:c r="A55" s="43" t="str">
        <x:v>SOC-051</x:v>
      </x:c>
      <x:c r="B55" s="43" t="str">
        <x:v>Eigenvector Centrality</x:v>
      </x:c>
      <x:c r="C55" s="43" t="str">
        <x:v>Prestige centrality; central-neighbor connectivity; influence centrality</x:v>
      </x:c>
      <x:c r="D55" s="43" t="str">
        <x:v>Social</x:v>
      </x:c>
      <x:c r="E55" s="43" t="str">
        <x:v>Network Structure &amp; Position</x:v>
      </x:c>
      <x:c r="F55" s="43" t="str">
        <x:v>An actor's centrality as a function of being connected to other actors who are themselves well connected in the specified network.</x:v>
      </x:c>
      <x:c r="G55" s="43" t="str">
        <x:v>Magnitude / level</x:v>
      </x:c>
      <x:c r="H55" s="43" t="str">
        <x:v>Normalized eigenvector score; related prestige-centrality measure</x:v>
      </x:c>
      <x:c r="I55" s="43" t="str">
        <x:v>Higher values = stronger connection to highly connected actors.</x:v>
      </x:c>
      <x:c r="J55" s="43" t="str">
        <x:v>Increases potential reach and social prominence when ties to central others carry information, status, or influence.</x:v>
      </x:c>
      <x:c r="K55" s="43" t="str">
        <x:v>Tie formation and dissolution; homophily; opportunity structure; organizational boundaries; mobility; platform affordances</x:v>
      </x:c>
      <x:c r="L55" s="43" t="str">
        <x:v>Reach; redundancy; brokerage; exposure; diffusion; resource access; coordination; social isolation</x:v>
      </x:c>
      <x:c r="M55" s="43" t="str">
        <x:v>Network boundary, tie definition, direction and weight, missingness, temporal aggregation, multiplexity, and actor population.</x:v>
      </x:c>
      <x:c r="N55" s="43" t="str">
        <x:v>Degree Centrality; Local Clustering; Structural Constraint; Network Segregation</x:v>
      </x:c>
      <x:c r="O55" s="43" t="str">
        <x:v>Low</x:v>
      </x:c>
      <x:c r="P55" s="43" t="str">
        <x:v>Low</x:v>
      </x:c>
      <x:c r="Q55" s="43" t="str">
        <x:v>Weeks–Months; Months–Years</x:v>
      </x:c>
      <x:c r="R55" s="43" t="str">
        <x:v>Hours–Days</x:v>
      </x:c>
      <x:c r="S55" s="43" t="str">
        <x:v>Persists while ties and network boundaries remain stable; accumulated changes can be path-dependent.</x:v>
      </x:c>
      <x:c r="T55" s="43" t="str">
        <x:v>Eigenvector score; prestige nominations; central-neighbor exposure</x:v>
      </x:c>
      <x:c r="U55" s="43" t="str">
        <x:v>Whole-network survey; digital trace with validated tie definition; roster nomination; temporal network model; graph analysis</x:v>
      </x:c>
      <x:c r="V55" s="43" t="str">
        <x:v>Moderate</x:v>
      </x:c>
      <x:c r="W55" s="43" t="str">
        <x:v>Network statistics are meaningful only relative to a defined node set, edge relation, direction, weighting, and observation window.</x:v>
      </x:c>
      <x:c r="X55" s="43" t="str">
        <x:v>Moderate</x:v>
      </x:c>
      <x:c r="Y55" s="43" t="str">
        <x:v>Scientifically defensible with substantial supporting literature, while construct boundaries, causal identification, measurement, or transferability remain context dependent. Representative records: SRC236; SRC250; SRC255.</x:v>
      </x:c>
      <x:c r="Z55" s="43" t="str">
        <x:v>Interchanging centrality measures or treating a graph statistic as causal merely because it predicts an outcome.</x:v>
      </x:c>
      <x:c r="AA55" s="43" t="str">
        <x:v>SRC236; SRC250; SRC255</x:v>
      </x:c>
    </x:row>
    <x:row r="56" ht="76" customHeight="1">
      <x:c r="A56" s="43" t="str">
        <x:v>SOC-052</x:v>
      </x:c>
      <x:c r="B56" s="43" t="str">
        <x:v>Network Density</x:v>
      </x:c>
      <x:c r="C56" s="43" t="str">
        <x:v>Tie density; network connectedness; edge saturation</x:v>
      </x:c>
      <x:c r="D56" s="43" t="str">
        <x:v>Social</x:v>
      </x:c>
      <x:c r="E56" s="43" t="str">
        <x:v>Network Structure &amp; Position</x:v>
      </x:c>
      <x:c r="F56" s="43" t="str">
        <x:v>The proportion of all possible ties among actors in a defined social network that are present.</x:v>
      </x:c>
      <x:c r="G56" s="43" t="str">
        <x:v>Proportion</x:v>
      </x:c>
      <x:c r="H56" s="43" t="str">
        <x:v>Observed ties divided by possible ties, with direction and loops specified</x:v>
      </x:c>
      <x:c r="I56" s="43" t="str">
        <x:v>Higher values = a more densely connected network.</x:v>
      </x:c>
      <x:c r="J56" s="43" t="str">
        <x:v>Increases potential reach, redundancy, monitoring, and closure while potentially reducing access to nonredundant contacts.</x:v>
      </x:c>
      <x:c r="K56" s="43" t="str">
        <x:v>Tie formation and dissolution; homophily; opportunity structure; organizational boundaries; mobility; platform affordances</x:v>
      </x:c>
      <x:c r="L56" s="43" t="str">
        <x:v>Reach; redundancy; brokerage; exposure; diffusion; resource access; coordination; social isolation</x:v>
      </x:c>
      <x:c r="M56" s="43" t="str">
        <x:v>Network boundary, tie definition, direction and weight, missingness, temporal aggregation, multiplexity, and actor population.</x:v>
      </x:c>
      <x:c r="N56" s="43" t="str">
        <x:v>Degree Centrality; Local Clustering; Structural Constraint; Network Segregation</x:v>
      </x:c>
      <x:c r="O56" s="43" t="str">
        <x:v>Low</x:v>
      </x:c>
      <x:c r="P56" s="43" t="str">
        <x:v>Low</x:v>
      </x:c>
      <x:c r="Q56" s="43" t="str">
        <x:v>Weeks–Months; Months–Years</x:v>
      </x:c>
      <x:c r="R56" s="43" t="str">
        <x:v>Hours–Days</x:v>
      </x:c>
      <x:c r="S56" s="43" t="str">
        <x:v>Persists while ties and network boundaries remain stable; accumulated changes can be path-dependent.</x:v>
      </x:c>
      <x:c r="T56" s="43" t="str">
        <x:v>Edge count; possible-edge count; weighted density</x:v>
      </x:c>
      <x:c r="U56" s="43" t="str">
        <x:v>Whole-network survey; digital trace with validated tie definition; roster nomination; temporal network model; graph analysis</x:v>
      </x:c>
      <x:c r="V56" s="43" t="str">
        <x:v>Moderate</x:v>
      </x:c>
      <x:c r="W56" s="43" t="str">
        <x:v>Network statistics are meaningful only relative to a defined node set, edge relation, direction, weighting, and observation window.</x:v>
      </x:c>
      <x:c r="X56" s="43" t="str">
        <x:v>Strong</x:v>
      </x:c>
      <x:c r="Y56" s="43" t="str">
        <x:v>Supported by converging review, meta-analytic, experimental, network, or longitudinal evidence. Specific effects and causal interpretation remain conditional on level, context, boundary, and measurement. Representative records: SRC256; SRC254; SRC235.</x:v>
      </x:c>
      <x:c r="Z56" s="43" t="str">
        <x:v>Interchanging centrality measures or treating a graph statistic as causal merely because it predicts an outcome.</x:v>
      </x:c>
      <x:c r="AA56" s="43" t="str">
        <x:v>SRC256; SRC254; SRC235</x:v>
      </x:c>
    </x:row>
    <x:row r="57" ht="76" customHeight="1">
      <x:c r="A57" s="43" t="str">
        <x:v>SOC-053</x:v>
      </x:c>
      <x:c r="B57" s="43" t="str">
        <x:v>Local Clustering</x:v>
      </x:c>
      <x:c r="C57" s="43" t="str">
        <x:v>Clustering coefficient; neighborhood closure; triadic closure</x:v>
      </x:c>
      <x:c r="D57" s="43" t="str">
        <x:v>Social</x:v>
      </x:c>
      <x:c r="E57" s="43" t="str">
        <x:v>Network Structure &amp; Position</x:v>
      </x:c>
      <x:c r="F57" s="43" t="str">
        <x:v>The proportion of possible ties among an actor's network neighbors that are present.</x:v>
      </x:c>
      <x:c r="G57" s="43" t="str">
        <x:v>Proportion</x:v>
      </x:c>
      <x:c r="H57" s="43" t="str">
        <x:v>Local clustering coefficient from 0 to 1; weighted or directed variant</x:v>
      </x:c>
      <x:c r="I57" s="43" t="str">
        <x:v>Higher values = greater connection among the actor's neighbors.</x:v>
      </x:c>
      <x:c r="J57" s="43" t="str">
        <x:v>Creates redundant reinforcement and local monitoring that can support complex diffusion, trust, or constraint.</x:v>
      </x:c>
      <x:c r="K57" s="43" t="str">
        <x:v>Tie formation and dissolution; homophily; opportunity structure; organizational boundaries; mobility; platform affordances</x:v>
      </x:c>
      <x:c r="L57" s="43" t="str">
        <x:v>Reach; redundancy; brokerage; exposure; diffusion; resource access; coordination; social isolation</x:v>
      </x:c>
      <x:c r="M57" s="43" t="str">
        <x:v>Network boundary, tie definition, direction and weight, missingness, temporal aggregation, multiplexity, and actor population.</x:v>
      </x:c>
      <x:c r="N57" s="43" t="str">
        <x:v>Degree Centrality; Local Clustering; Structural Constraint; Network Segregation</x:v>
      </x:c>
      <x:c r="O57" s="43" t="str">
        <x:v>Low</x:v>
      </x:c>
      <x:c r="P57" s="43" t="str">
        <x:v>Low</x:v>
      </x:c>
      <x:c r="Q57" s="43" t="str">
        <x:v>Weeks–Months; Months–Years</x:v>
      </x:c>
      <x:c r="R57" s="43" t="str">
        <x:v>Hours–Days</x:v>
      </x:c>
      <x:c r="S57" s="43" t="str">
        <x:v>Persists while ties and network boundaries remain stable; accumulated changes can be path-dependent.</x:v>
      </x:c>
      <x:c r="T57" s="43" t="str">
        <x:v>Closed triads; clustering coefficient; neighbor-neighbor tie rate</x:v>
      </x:c>
      <x:c r="U57" s="43" t="str">
        <x:v>Whole-network survey; digital trace with validated tie definition; roster nomination; temporal network model; graph analysis</x:v>
      </x:c>
      <x:c r="V57" s="43" t="str">
        <x:v>Moderate</x:v>
      </x:c>
      <x:c r="W57" s="43" t="str">
        <x:v>Network statistics are meaningful only relative to a defined node set, edge relation, direction, weighting, and observation window.</x:v>
      </x:c>
      <x:c r="X57" s="43" t="str">
        <x:v>Strong</x:v>
      </x:c>
      <x:c r="Y57" s="43" t="str">
        <x:v>Supported by converging review, meta-analytic, experimental, network, or longitudinal evidence. Specific effects and causal interpretation remain conditional on level, context, boundary, and measurement. Representative records: SRC235; SRC256; SRC254.</x:v>
      </x:c>
      <x:c r="Z57" s="43" t="str">
        <x:v>Interchanging centrality measures or treating a graph statistic as causal merely because it predicts an outcome.</x:v>
      </x:c>
      <x:c r="AA57" s="43" t="str">
        <x:v>SRC235; SRC256; SRC254</x:v>
      </x:c>
    </x:row>
    <x:row r="58" ht="76" customHeight="1">
      <x:c r="A58" s="43" t="str">
        <x:v>SOC-054</x:v>
      </x:c>
      <x:c r="B58" s="43" t="str">
        <x:v>Network Assortativity</x:v>
      </x:c>
      <x:c r="C58" s="43" t="str">
        <x:v>Homophilous mixing; attribute assortativity; like-with-like connectivity</x:v>
      </x:c>
      <x:c r="D58" s="43" t="str">
        <x:v>Social</x:v>
      </x:c>
      <x:c r="E58" s="43" t="str">
        <x:v>Network Structure &amp; Position</x:v>
      </x:c>
      <x:c r="F58" s="43" t="str">
        <x:v>The degree to which social ties disproportionately connect actors who are similar on a specified attribute relative to a defined baseline.</x:v>
      </x:c>
      <x:c r="G58" s="43" t="str">
        <x:v>Bipolar continuous</x:v>
      </x:c>
      <x:c r="H58" s="43" t="str">
        <x:v>Assortativity coefficient; observed-minus-expected same-category mixing</x:v>
      </x:c>
      <x:c r="I58" s="43" t="str">
        <x:v>Negative values = disassortative mixing; positive values = assortative mixing.</x:v>
      </x:c>
      <x:c r="J58" s="43" t="str">
        <x:v>Shapes exposure diversity, segregation, and diffusion pathways by concentrating ties among similar or dissimilar actors.</x:v>
      </x:c>
      <x:c r="K58" s="43" t="str">
        <x:v>Tie formation and dissolution; homophily; opportunity structure; organizational boundaries; mobility; platform affordances</x:v>
      </x:c>
      <x:c r="L58" s="43" t="str">
        <x:v>Reach; redundancy; brokerage; exposure; diffusion; resource access; coordination; social isolation</x:v>
      </x:c>
      <x:c r="M58" s="43" t="str">
        <x:v>Network boundary, tie definition, direction and weight, missingness, temporal aggregation, multiplexity, and actor population.</x:v>
      </x:c>
      <x:c r="N58" s="43" t="str">
        <x:v>Degree Centrality; Local Clustering; Structural Constraint; Network Segregation</x:v>
      </x:c>
      <x:c r="O58" s="43" t="str">
        <x:v>Low</x:v>
      </x:c>
      <x:c r="P58" s="43" t="str">
        <x:v>Low</x:v>
      </x:c>
      <x:c r="Q58" s="43" t="str">
        <x:v>Weeks–Months; Months–Years</x:v>
      </x:c>
      <x:c r="R58" s="43" t="str">
        <x:v>Hours–Days</x:v>
      </x:c>
      <x:c r="S58" s="43" t="str">
        <x:v>Persists while ties and network boundaries remain stable; accumulated changes can be path-dependent.</x:v>
      </x:c>
      <x:c r="T58" s="43" t="str">
        <x:v>Mixing matrix; assortativity coefficient; same-attribute tie excess</x:v>
      </x:c>
      <x:c r="U58" s="43" t="str">
        <x:v>Whole-network survey; digital trace with validated tie definition; roster nomination; temporal network model; graph analysis</x:v>
      </x:c>
      <x:c r="V58" s="43" t="str">
        <x:v>Moderate</x:v>
      </x:c>
      <x:c r="W58" s="43" t="str">
        <x:v>Network statistics are meaningful only relative to a defined node set, edge relation, direction, weighting, and observation window.</x:v>
      </x:c>
      <x:c r="X58" s="43" t="str">
        <x:v>Strong</x:v>
      </x:c>
      <x:c r="Y58" s="43" t="str">
        <x:v>Supported by converging review, meta-analytic, experimental, network, or longitudinal evidence. Specific effects and causal interpretation remain conditional on level, context, boundary, and measurement. Representative records: SRC233; SRC260; SRC270.</x:v>
      </x:c>
      <x:c r="Z58" s="43" t="str">
        <x:v>Interchanging centrality measures or treating a graph statistic as causal merely because it predicts an outcome.</x:v>
      </x:c>
      <x:c r="AA58" s="43" t="str">
        <x:v>SRC233; SRC260; SRC270</x:v>
      </x:c>
    </x:row>
    <x:row r="59" ht="76" customHeight="1">
      <x:c r="A59" s="43" t="str">
        <x:v>SOC-055</x:v>
      </x:c>
      <x:c r="B59" s="43" t="str">
        <x:v>Structural Constraint</x:v>
      </x:c>
      <x:c r="C59" s="43" t="str">
        <x:v>Network constraint; lack of structural holes; contact redundancy</x:v>
      </x:c>
      <x:c r="D59" s="43" t="str">
        <x:v>Social</x:v>
      </x:c>
      <x:c r="E59" s="43" t="str">
        <x:v>Network Structure &amp; Position</x:v>
      </x:c>
      <x:c r="F59" s="43" t="str">
        <x:v>The degree to which an actor's network contacts are mutually connected or concentrated such that brokerage options are constrained.</x:v>
      </x:c>
      <x:c r="G59" s="43" t="str">
        <x:v>Proportion</x:v>
      </x:c>
      <x:c r="H59" s="43" t="str">
        <x:v>Burt constraint score from low to high; contact redundancy index</x:v>
      </x:c>
      <x:c r="I59" s="43" t="str">
        <x:v>Higher values = greater constraint and fewer independent brokerage opportunities.</x:v>
      </x:c>
      <x:c r="J59" s="43" t="str">
        <x:v>Limits nonredundant access and autonomy while potentially strengthening closure, trust, and coordinated monitoring.</x:v>
      </x:c>
      <x:c r="K59" s="43" t="str">
        <x:v>Tie formation and dissolution; homophily; opportunity structure; organizational boundaries; mobility; platform affordances</x:v>
      </x:c>
      <x:c r="L59" s="43" t="str">
        <x:v>Reach; redundancy; brokerage; exposure; diffusion; resource access; coordination; social isolation</x:v>
      </x:c>
      <x:c r="M59" s="43" t="str">
        <x:v>Network boundary, tie definition, direction and weight, missingness, temporal aggregation, multiplexity, and actor population.</x:v>
      </x:c>
      <x:c r="N59" s="43" t="str">
        <x:v>Degree Centrality; Local Clustering; Structural Constraint; Network Segregation</x:v>
      </x:c>
      <x:c r="O59" s="43" t="str">
        <x:v>Low</x:v>
      </x:c>
      <x:c r="P59" s="43" t="str">
        <x:v>Low</x:v>
      </x:c>
      <x:c r="Q59" s="43" t="str">
        <x:v>Weeks–Months; Months–Years</x:v>
      </x:c>
      <x:c r="R59" s="43" t="str">
        <x:v>Hours–Days</x:v>
      </x:c>
      <x:c r="S59" s="43" t="str">
        <x:v>Persists while ties and network boundaries remain stable; accumulated changes can be path-dependent.</x:v>
      </x:c>
      <x:c r="T59" s="43" t="str">
        <x:v>Constraint score; effective size inverse; contact redundancy</x:v>
      </x:c>
      <x:c r="U59" s="43" t="str">
        <x:v>Whole-network survey; digital trace with validated tie definition; roster nomination; temporal network model; graph analysis</x:v>
      </x:c>
      <x:c r="V59" s="43" t="str">
        <x:v>Moderate</x:v>
      </x:c>
      <x:c r="W59" s="43" t="str">
        <x:v>Network statistics are meaningful only relative to a defined node set, edge relation, direction, weighting, and observation window.</x:v>
      </x:c>
      <x:c r="X59" s="43" t="str">
        <x:v>Strong</x:v>
      </x:c>
      <x:c r="Y59" s="43" t="str">
        <x:v>Supported by converging review, meta-analytic, experimental, network, or longitudinal evidence. Specific effects and causal interpretation remain conditional on level, context, boundary, and measurement. Representative records: SRC234; SRC254; SRC269.</x:v>
      </x:c>
      <x:c r="Z59" s="43" t="str">
        <x:v>Interchanging centrality measures or treating a graph statistic as causal merely because it predicts an outcome.</x:v>
      </x:c>
      <x:c r="AA59" s="43" t="str">
        <x:v>SRC234; SRC254; SRC269</x:v>
      </x:c>
    </x:row>
    <x:row r="60" ht="76" customHeight="1">
      <x:c r="A60" s="43" t="str">
        <x:v>SOC-056</x:v>
      </x:c>
      <x:c r="B60" s="43" t="str">
        <x:v>Cross-Cluster Tie Prevalence</x:v>
      </x:c>
      <x:c r="C60" s="43" t="str">
        <x:v>Bridging-tie prevalence; intercommunity ties; boundary-spanning connections</x:v>
      </x:c>
      <x:c r="D60" s="43" t="str">
        <x:v>Social</x:v>
      </x:c>
      <x:c r="E60" s="43" t="str">
        <x:v>Network Structure &amp; Position</x:v>
      </x:c>
      <x:c r="F60" s="43" t="str">
        <x:v>The proportion of observed social ties that connect actors assigned to different network communities or social clusters.</x:v>
      </x:c>
      <x:c r="G60" s="43" t="str">
        <x:v>Proportion</x:v>
      </x:c>
      <x:c r="H60" s="43" t="str">
        <x:v>Cross-community ties divided by all ties; bridge count normalized by opportunities</x:v>
      </x:c>
      <x:c r="I60" s="43" t="str">
        <x:v>Higher values = more ties span network clusters.</x:v>
      </x:c>
      <x:c r="J60" s="43" t="str">
        <x:v>Creates channels for nonredundant information, coordination, and diffusion across otherwise separated communities.</x:v>
      </x:c>
      <x:c r="K60" s="43" t="str">
        <x:v>Tie formation and dissolution; homophily; opportunity structure; organizational boundaries; mobility; platform affordances</x:v>
      </x:c>
      <x:c r="L60" s="43" t="str">
        <x:v>Reach; redundancy; brokerage; exposure; diffusion; resource access; coordination; social isolation</x:v>
      </x:c>
      <x:c r="M60" s="43" t="str">
        <x:v>Network boundary, tie definition, direction and weight, missingness, temporal aggregation, multiplexity, and actor population.</x:v>
      </x:c>
      <x:c r="N60" s="43" t="str">
        <x:v>Degree Centrality; Local Clustering; Structural Constraint; Network Segregation</x:v>
      </x:c>
      <x:c r="O60" s="43" t="str">
        <x:v>Low</x:v>
      </x:c>
      <x:c r="P60" s="43" t="str">
        <x:v>Low</x:v>
      </x:c>
      <x:c r="Q60" s="43" t="str">
        <x:v>Weeks–Months; Months–Years</x:v>
      </x:c>
      <x:c r="R60" s="43" t="str">
        <x:v>Hours–Days</x:v>
      </x:c>
      <x:c r="S60" s="43" t="str">
        <x:v>Persists while ties and network boundaries remain stable; accumulated changes can be path-dependent.</x:v>
      </x:c>
      <x:c r="T60" s="43" t="str">
        <x:v>Cross-community edges; bridge count; community-spanning nominations</x:v>
      </x:c>
      <x:c r="U60" s="43" t="str">
        <x:v>Whole-network survey; digital trace with validated tie definition; roster nomination; temporal network model; graph analysis</x:v>
      </x:c>
      <x:c r="V60" s="43" t="str">
        <x:v>Moderate</x:v>
      </x:c>
      <x:c r="W60" s="43" t="str">
        <x:v>Network statistics are meaningful only relative to a defined node set, edge relation, direction, weighting, and observation window.</x:v>
      </x:c>
      <x:c r="X60" s="43" t="str">
        <x:v>Strong</x:v>
      </x:c>
      <x:c r="Y60" s="43" t="str">
        <x:v>Supported by converging review, meta-analytic, experimental, network, or longitudinal evidence. Specific effects and causal interpretation remain conditional on level, context, boundary, and measurement. Representative records: SRC234; SRC237; SRC269.</x:v>
      </x:c>
      <x:c r="Z60" s="43" t="str">
        <x:v>Interchanging centrality measures or treating a graph statistic as causal merely because it predicts an outcome.</x:v>
      </x:c>
      <x:c r="AA60" s="43" t="str">
        <x:v>SRC234; SRC237; SRC269</x:v>
      </x:c>
    </x:row>
    <x:row r="61" ht="76" customHeight="1">
      <x:c r="A61" s="43" t="str">
        <x:v>SOC-057</x:v>
      </x:c>
      <x:c r="B61" s="43" t="str">
        <x:v>Network Segregation</x:v>
      </x:c>
      <x:c r="C61" s="43" t="str">
        <x:v>Social network separation; group mixing deficit; relational segregation</x:v>
      </x:c>
      <x:c r="D61" s="43" t="str">
        <x:v>Social</x:v>
      </x:c>
      <x:c r="E61" s="43" t="str">
        <x:v>Network Structure &amp; Position</x:v>
      </x:c>
      <x:c r="F61" s="43" t="str">
        <x:v>The degree to which ties are concentrated within rather than between specified social groups beyond what group sizes and opportunities would predict.</x:v>
      </x:c>
      <x:c r="G61" s="43" t="str">
        <x:v>Magnitude / level</x:v>
      </x:c>
      <x:c r="H61" s="43" t="str">
        <x:v>Observed-to-expected within-group mixing; segregation index; low–high separation</x:v>
      </x:c>
      <x:c r="I61" s="43" t="str">
        <x:v>Higher values = greater relational separation between specified groups.</x:v>
      </x:c>
      <x:c r="J61" s="43" t="str">
        <x:v>Restricts cross-group exposure and resource flow while increasing within-group redundancy and normative enclosure.</x:v>
      </x:c>
      <x:c r="K61" s="43" t="str">
        <x:v>Tie formation and dissolution; homophily; opportunity structure; organizational boundaries; mobility; platform affordances</x:v>
      </x:c>
      <x:c r="L61" s="43" t="str">
        <x:v>Reach; redundancy; brokerage; exposure; diffusion; resource access; coordination; social isolation</x:v>
      </x:c>
      <x:c r="M61" s="43" t="str">
        <x:v>Network boundary, tie definition, direction and weight, missingness, temporal aggregation, multiplexity, and actor population.</x:v>
      </x:c>
      <x:c r="N61" s="43" t="str">
        <x:v>Degree Centrality; Local Clustering; Structural Constraint; Network Segregation</x:v>
      </x:c>
      <x:c r="O61" s="43" t="str">
        <x:v>Low</x:v>
      </x:c>
      <x:c r="P61" s="43" t="str">
        <x:v>Low</x:v>
      </x:c>
      <x:c r="Q61" s="43" t="str">
        <x:v>Weeks–Months; Months–Years</x:v>
      </x:c>
      <x:c r="R61" s="43" t="str">
        <x:v>Hours–Days</x:v>
      </x:c>
      <x:c r="S61" s="43" t="str">
        <x:v>Persists while ties and network boundaries remain stable; accumulated changes can be path-dependent.</x:v>
      </x:c>
      <x:c r="T61" s="43" t="str">
        <x:v>Within- versus between-group ties; exposure index; mixing matrix</x:v>
      </x:c>
      <x:c r="U61" s="43" t="str">
        <x:v>Whole-network survey; digital trace with validated tie definition; roster nomination; temporal network model; graph analysis</x:v>
      </x:c>
      <x:c r="V61" s="43" t="str">
        <x:v>Moderate</x:v>
      </x:c>
      <x:c r="W61" s="43" t="str">
        <x:v>Network statistics are meaningful only relative to a defined node set, edge relation, direction, weighting, and observation window.</x:v>
      </x:c>
      <x:c r="X61" s="43" t="str">
        <x:v>Strong</x:v>
      </x:c>
      <x:c r="Y61" s="43" t="str">
        <x:v>Supported by converging review, meta-analytic, experimental, network, or longitudinal evidence. Specific effects and causal interpretation remain conditional on level, context, boundary, and measurement. Representative records: SRC233; SRC260; SRC270.</x:v>
      </x:c>
      <x:c r="Z61" s="43" t="str">
        <x:v>Interchanging centrality measures or treating a graph statistic as causal merely because it predicts an outcome.</x:v>
      </x:c>
      <x:c r="AA61" s="43" t="str">
        <x:v>SRC233; SRC260; SRC270</x:v>
      </x:c>
    </x:row>
    <x:row r="62" ht="76" customHeight="1">
      <x:c r="A62" s="43" t="str">
        <x:v>SOC-058</x:v>
      </x:c>
      <x:c r="B62" s="43" t="str">
        <x:v>Network Exposure Proportion</x:v>
      </x:c>
      <x:c r="C62" s="43" t="str">
        <x:v>Peer-adoption exposure; neighbor prevalence; network treatment proportion</x:v>
      </x:c>
      <x:c r="D62" s="43" t="str">
        <x:v>Social</x:v>
      </x:c>
      <x:c r="E62" s="43" t="str">
        <x:v>Network Exposure &amp; Social Diffusion</x:v>
      </x:c>
      <x:c r="F62" s="43" t="str">
        <x:v>The proportion of an actor's defined network neighbors who display a specified behavior or social signal during a stated window.</x:v>
      </x:c>
      <x:c r="G62" s="43" t="str">
        <x:v>Proportion</x:v>
      </x:c>
      <x:c r="H62" s="43" t="str">
        <x:v>0–1 or 0–100% of relevant neighbors displaying the target</x:v>
      </x:c>
      <x:c r="I62" s="43" t="str">
        <x:v>Higher values = a larger share of network neighbors displays the target.</x:v>
      </x:c>
      <x:c r="J62" s="43" t="str">
        <x:v>Provides locally embedded prevalence information and opportunities for social reinforcement or learning.</x:v>
      </x:c>
      <x:c r="K62" s="43" t="str">
        <x:v>Neighbors' behavior; tie structure; communication frequency; seeding; clustering; cross-group ties; algorithmic mediation</x:v>
      </x:c>
      <x:c r="L62" s="43" t="str">
        <x:v>Perceived prevalence; learning; behavioral adoption; mobilization; diffusion speed; norm updating</x:v>
      </x:c>
      <x:c r="M62" s="43" t="str">
        <x:v>Simple versus complex contagion, exposure independence, tie strength, credibility, adoption threshold, baseline prevalence, and homophily.</x:v>
      </x:c>
      <x:c r="N62" s="43" t="str">
        <x:v>Network Exposure Proportion; Independent Exposure Source Count; Social Reinforcement Multiplicity; Cross-Cluster Exposure</x:v>
      </x:c>
      <x:c r="O62" s="43" t="str">
        <x:v>High</x:v>
      </x:c>
      <x:c r="P62" s="43" t="str">
        <x:v>High</x:v>
      </x:c>
      <x:c r="Q62" s="43" t="str">
        <x:v>Seconds–Minutes; Hours–Days</x:v>
      </x:c>
      <x:c r="R62" s="43" t="str">
        <x:v>Seconds–Minutes</x:v>
      </x:c>
      <x:c r="S62" s="43" t="str">
        <x:v>Often transient at the event level; repeated exposure patterns can persist across weeks or months.</x:v>
      </x:c>
      <x:c r="T62" s="43" t="str">
        <x:v>Adopting neighbors divided by observed neighbors; weighted-neighbor prevalence</x:v>
      </x:c>
      <x:c r="U62" s="43" t="str">
        <x:v>Time-stamped network exposure log; randomized network experiment; cascade reconstruction; panel network survey; event-history model</x:v>
      </x:c>
      <x:c r="V62" s="43" t="str">
        <x:v>High</x:v>
      </x:c>
      <x:c r="W62" s="43" t="str">
        <x:v>Exposure is not equivalent to attention, influence, or adoption; observational contagion estimates are vulnerable to homophily and shared-context confounding.</x:v>
      </x:c>
      <x:c r="X62" s="43" t="str">
        <x:v>Strong</x:v>
      </x:c>
      <x:c r="Y62" s="43" t="str">
        <x:v>Supported by converging review, meta-analytic, experimental, network, or longitudinal evidence. Specific effects and causal interpretation remain conditional on level, context, boundary, and measurement. Representative records: SRC235; SRC236; SRC237.</x:v>
      </x:c>
      <x:c r="Z62" s="43" t="str">
        <x:v>Inferring peer influence from correlated behavior among connected people without a design that separates influence from selection.</x:v>
      </x:c>
      <x:c r="AA62" s="43" t="str">
        <x:v>SRC235; SRC236; SRC237</x:v>
      </x:c>
    </x:row>
    <x:row r="63" ht="76" customHeight="1">
      <x:c r="A63" s="43" t="str">
        <x:v>SOC-059</x:v>
      </x:c>
      <x:c r="B63" s="43" t="str">
        <x:v>Exposure Frequency</x:v>
      </x:c>
      <x:c r="C63" s="43" t="str">
        <x:v>Network exposure rate; social signal frequency; contact-weighted exposure</x:v>
      </x:c>
      <x:c r="D63" s="43" t="str">
        <x:v>Social</x:v>
      </x:c>
      <x:c r="E63" s="43" t="str">
        <x:v>Network Exposure &amp; Social Diffusion</x:v>
      </x:c>
      <x:c r="F63" s="43" t="str">
        <x:v>The number of network-mediated encounters with a specified behavior or signal per unit time.</x:v>
      </x:c>
      <x:c r="G63" s="43" t="str">
        <x:v>Frequency</x:v>
      </x:c>
      <x:c r="H63" s="43" t="str">
        <x:v>Exposure events per hour, day, or week; weighted encounter count</x:v>
      </x:c>
      <x:c r="I63" s="43" t="str">
        <x:v>Higher values = more frequent network-mediated exposure.</x:v>
      </x:c>
      <x:c r="J63" s="43" t="str">
        <x:v>Increases opportunities for attention, learning, recall, and behavioral reinforcement through repeated social contact.</x:v>
      </x:c>
      <x:c r="K63" s="43" t="str">
        <x:v>Neighbors' behavior; tie structure; communication frequency; seeding; clustering; cross-group ties; algorithmic mediation</x:v>
      </x:c>
      <x:c r="L63" s="43" t="str">
        <x:v>Perceived prevalence; learning; behavioral adoption; mobilization; diffusion speed; norm updating</x:v>
      </x:c>
      <x:c r="M63" s="43" t="str">
        <x:v>Simple versus complex contagion, exposure independence, tie strength, credibility, adoption threshold, baseline prevalence, and homophily.</x:v>
      </x:c>
      <x:c r="N63" s="43" t="str">
        <x:v>Network Exposure Proportion; Independent Exposure Source Count; Social Reinforcement Multiplicity; Cross-Cluster Exposure</x:v>
      </x:c>
      <x:c r="O63" s="43" t="str">
        <x:v>High</x:v>
      </x:c>
      <x:c r="P63" s="43" t="str">
        <x:v>High</x:v>
      </x:c>
      <x:c r="Q63" s="43" t="str">
        <x:v>Seconds–Minutes; Hours–Days</x:v>
      </x:c>
      <x:c r="R63" s="43" t="str">
        <x:v>Seconds–Minutes</x:v>
      </x:c>
      <x:c r="S63" s="43" t="str">
        <x:v>Often transient at the event level; repeated exposure patterns can persist across weeks or months.</x:v>
      </x:c>
      <x:c r="T63" s="43" t="str">
        <x:v>Time-stamped exposures; feed or communication encounters; contact diary</x:v>
      </x:c>
      <x:c r="U63" s="43" t="str">
        <x:v>Time-stamped network exposure log; randomized network experiment; cascade reconstruction; panel network survey; event-history model</x:v>
      </x:c>
      <x:c r="V63" s="43" t="str">
        <x:v>High</x:v>
      </x:c>
      <x:c r="W63" s="43" t="str">
        <x:v>Exposure is not equivalent to attention, influence, or adoption; observational contagion estimates are vulnerable to homophily and shared-context confounding.</x:v>
      </x:c>
      <x:c r="X63" s="43" t="str">
        <x:v>Strong</x:v>
      </x:c>
      <x:c r="Y63" s="43" t="str">
        <x:v>Supported by converging review, meta-analytic, experimental, network, or longitudinal evidence. Specific effects and causal interpretation remain conditional on level, context, boundary, and measurement. Representative records: SRC235; SRC236; SRC237.</x:v>
      </x:c>
      <x:c r="Z63" s="43" t="str">
        <x:v>Inferring peer influence from correlated behavior among connected people without a design that separates influence from selection.</x:v>
      </x:c>
      <x:c r="AA63" s="43" t="str">
        <x:v>SRC235; SRC236; SRC237</x:v>
      </x:c>
    </x:row>
    <x:row r="64" ht="76" customHeight="1">
      <x:c r="A64" s="43" t="str">
        <x:v>SOC-060</x:v>
      </x:c>
      <x:c r="B64" s="43" t="str">
        <x:v>Independent Exposure Source Count</x:v>
      </x:c>
      <x:c r="C64" s="43" t="str">
        <x:v>Distinct-source exposure; independent social confirmation; source diversity</x:v>
      </x:c>
      <x:c r="D64" s="43" t="str">
        <x:v>Social</x:v>
      </x:c>
      <x:c r="E64" s="43" t="str">
        <x:v>Network Exposure &amp; Social Diffusion</x:v>
      </x:c>
      <x:c r="F64" s="43" t="str">
        <x:v>The number of socially independent network contacts or clusters from which an actor receives the same specified signal.</x:v>
      </x:c>
      <x:c r="G64" s="43" t="str">
        <x:v>Count</x:v>
      </x:c>
      <x:c r="H64" s="43" t="str">
        <x:v>Distinct alters or communities providing the signal; independence-adjusted count</x:v>
      </x:c>
      <x:c r="I64" s="43" t="str">
        <x:v>Higher values = more independent social sources provide the signal.</x:v>
      </x:c>
      <x:c r="J64" s="43" t="str">
        <x:v>Reduces the chance that repeated evidence is merely redundant and can strengthen perceived consensus or credibility.</x:v>
      </x:c>
      <x:c r="K64" s="43" t="str">
        <x:v>Neighbors' behavior; tie structure; communication frequency; seeding; clustering; cross-group ties; algorithmic mediation</x:v>
      </x:c>
      <x:c r="L64" s="43" t="str">
        <x:v>Perceived prevalence; learning; behavioral adoption; mobilization; diffusion speed; norm updating</x:v>
      </x:c>
      <x:c r="M64" s="43" t="str">
        <x:v>Simple versus complex contagion, exposure independence, tie strength, credibility, adoption threshold, baseline prevalence, and homophily.</x:v>
      </x:c>
      <x:c r="N64" s="43" t="str">
        <x:v>Network Exposure Proportion; Independent Exposure Source Count; Social Reinforcement Multiplicity; Cross-Cluster Exposure</x:v>
      </x:c>
      <x:c r="O64" s="43" t="str">
        <x:v>High</x:v>
      </x:c>
      <x:c r="P64" s="43" t="str">
        <x:v>High</x:v>
      </x:c>
      <x:c r="Q64" s="43" t="str">
        <x:v>Seconds–Minutes; Hours–Days</x:v>
      </x:c>
      <x:c r="R64" s="43" t="str">
        <x:v>Seconds–Minutes</x:v>
      </x:c>
      <x:c r="S64" s="43" t="str">
        <x:v>Often transient at the event level; repeated exposure patterns can persist across weeks or months.</x:v>
      </x:c>
      <x:c r="T64" s="43" t="str">
        <x:v>Distinct exposing alters; exposing-community count; source-overlap adjustment</x:v>
      </x:c>
      <x:c r="U64" s="43" t="str">
        <x:v>Time-stamped network exposure log; randomized network experiment; cascade reconstruction; panel network survey; event-history model</x:v>
      </x:c>
      <x:c r="V64" s="43" t="str">
        <x:v>High</x:v>
      </x:c>
      <x:c r="W64" s="43" t="str">
        <x:v>Exposure is not equivalent to attention, influence, or adoption; observational contagion estimates are vulnerable to homophily and shared-context confounding.</x:v>
      </x:c>
      <x:c r="X64" s="43" t="str">
        <x:v>Moderate</x:v>
      </x:c>
      <x:c r="Y64" s="43" t="str">
        <x:v>Scientifically defensible with substantial supporting literature, while construct boundaries, causal identification, measurement, or transferability remain context dependent. Representative records: SRC235; SRC236; SRC254.</x:v>
      </x:c>
      <x:c r="Z64" s="43" t="str">
        <x:v>Inferring peer influence from correlated behavior among connected people without a design that separates influence from selection.</x:v>
      </x:c>
      <x:c r="AA64" s="43" t="str">
        <x:v>SRC235; SRC236; SRC254</x:v>
      </x:c>
    </x:row>
    <x:row r="65" ht="76" customHeight="1">
      <x:c r="A65" s="43" t="str">
        <x:v>SOC-061</x:v>
      </x:c>
      <x:c r="B65" s="43" t="str">
        <x:v>Social Reinforcement Multiplicity</x:v>
      </x:c>
      <x:c r="C65" s="43" t="str">
        <x:v>Complex-contagion reinforcement; multiple-neighbor reinforcement; redundant exposure</x:v>
      </x:c>
      <x:c r="D65" s="43" t="str">
        <x:v>Social</x:v>
      </x:c>
      <x:c r="E65" s="43" t="str">
        <x:v>Network Exposure &amp; Social Diffusion</x:v>
      </x:c>
      <x:c r="F65" s="43" t="str">
        <x:v>The number of simultaneous or recent network neighbors who independently reinforce the same behavior before an actor responds.</x:v>
      </x:c>
      <x:c r="G65" s="43" t="str">
        <x:v>Count</x:v>
      </x:c>
      <x:c r="H65" s="43" t="str">
        <x:v>Number of reinforcing neighbors within a defined decision window</x:v>
      </x:c>
      <x:c r="I65" s="43" t="str">
        <x:v>Higher values = more neighbors reinforce the behavior within the window.</x:v>
      </x:c>
      <x:c r="J65" s="43" t="str">
        <x:v>Can help a costly or norm-sensitive behavior cross an adoption threshold by supplying repeated social confirmation.</x:v>
      </x:c>
      <x:c r="K65" s="43" t="str">
        <x:v>Neighbors' behavior; tie structure; communication frequency; seeding; clustering; cross-group ties; algorithmic mediation</x:v>
      </x:c>
      <x:c r="L65" s="43" t="str">
        <x:v>Perceived prevalence; learning; behavioral adoption; mobilization; diffusion speed; norm updating</x:v>
      </x:c>
      <x:c r="M65" s="43" t="str">
        <x:v>Simple versus complex contagion, exposure independence, tie strength, credibility, adoption threshold, baseline prevalence, and homophily.</x:v>
      </x:c>
      <x:c r="N65" s="43" t="str">
        <x:v>Network Exposure Proportion; Independent Exposure Source Count; Social Reinforcement Multiplicity; Cross-Cluster Exposure</x:v>
      </x:c>
      <x:c r="O65" s="43" t="str">
        <x:v>High</x:v>
      </x:c>
      <x:c r="P65" s="43" t="str">
        <x:v>High</x:v>
      </x:c>
      <x:c r="Q65" s="43" t="str">
        <x:v>Seconds–Minutes; Hours–Days</x:v>
      </x:c>
      <x:c r="R65" s="43" t="str">
        <x:v>Seconds–Minutes</x:v>
      </x:c>
      <x:c r="S65" s="43" t="str">
        <x:v>Often transient at the event level; repeated exposure patterns can persist across weeks or months.</x:v>
      </x:c>
      <x:c r="T65" s="43" t="str">
        <x:v>Reinforcing-neighbor count; exposures before adoption; clustered confirmation</x:v>
      </x:c>
      <x:c r="U65" s="43" t="str">
        <x:v>Time-stamped network exposure log; randomized network experiment; cascade reconstruction; panel network survey; event-history model</x:v>
      </x:c>
      <x:c r="V65" s="43" t="str">
        <x:v>High</x:v>
      </x:c>
      <x:c r="W65" s="43" t="str">
        <x:v>Exposure is not equivalent to attention, influence, or adoption; observational contagion estimates are vulnerable to homophily and shared-context confounding.</x:v>
      </x:c>
      <x:c r="X65" s="43" t="str">
        <x:v>Strong</x:v>
      </x:c>
      <x:c r="Y65" s="43" t="str">
        <x:v>Supported by converging review, meta-analytic, experimental, network, or longitudinal evidence. Specific effects and causal interpretation remain conditional on level, context, boundary, and measurement. Representative records: SRC235; SRC250.</x:v>
      </x:c>
      <x:c r="Z65" s="43" t="str">
        <x:v>Inferring peer influence from correlated behavior among connected people without a design that separates influence from selection.</x:v>
      </x:c>
      <x:c r="AA65" s="43" t="str">
        <x:v>SRC235; SRC250</x:v>
      </x:c>
    </x:row>
    <x:row r="66" ht="76" customHeight="1">
      <x:c r="A66" s="43" t="str">
        <x:v>SOC-062</x:v>
      </x:c>
      <x:c r="B66" s="43" t="str">
        <x:v>Influential-Referent Exposure</x:v>
      </x:c>
      <x:c r="C66" s="43" t="str">
        <x:v>Social referent exposure; central-peer signal; opinion-leader exposure</x:v>
      </x:c>
      <x:c r="D66" s="43" t="str">
        <x:v>Social</x:v>
      </x:c>
      <x:c r="E66" s="43" t="str">
        <x:v>Network Exposure &amp; Social Diffusion</x:v>
      </x:c>
      <x:c r="F66" s="43" t="str">
        <x:v>The frequency or weighted amount of exposure to a specified behavior from actors who occupy influential positions in the relevant social network.</x:v>
      </x:c>
      <x:c r="G66" s="43" t="str">
        <x:v>Frequency</x:v>
      </x:c>
      <x:c r="H66" s="43" t="str">
        <x:v>Centrality-weighted exposure; influential-alter encounters per period</x:v>
      </x:c>
      <x:c r="I66" s="43" t="str">
        <x:v>Higher values = more exposure from influential social referents.</x:v>
      </x:c>
      <x:c r="J66" s="43" t="str">
        <x:v>Weights social evidence by the referent's visibility, reach, status, or network position and can amplify diffusion.</x:v>
      </x:c>
      <x:c r="K66" s="43" t="str">
        <x:v>Neighbors' behavior; tie structure; communication frequency; seeding; clustering; cross-group ties; algorithmic mediation</x:v>
      </x:c>
      <x:c r="L66" s="43" t="str">
        <x:v>Perceived prevalence; learning; behavioral adoption; mobilization; diffusion speed; norm updating</x:v>
      </x:c>
      <x:c r="M66" s="43" t="str">
        <x:v>Simple versus complex contagion, exposure independence, tie strength, credibility, adoption threshold, baseline prevalence, and homophily.</x:v>
      </x:c>
      <x:c r="N66" s="43" t="str">
        <x:v>Network Exposure Proportion; Independent Exposure Source Count; Social Reinforcement Multiplicity; Cross-Cluster Exposure</x:v>
      </x:c>
      <x:c r="O66" s="43" t="str">
        <x:v>High</x:v>
      </x:c>
      <x:c r="P66" s="43" t="str">
        <x:v>High</x:v>
      </x:c>
      <x:c r="Q66" s="43" t="str">
        <x:v>Seconds–Minutes; Hours–Days</x:v>
      </x:c>
      <x:c r="R66" s="43" t="str">
        <x:v>Seconds–Minutes</x:v>
      </x:c>
      <x:c r="S66" s="43" t="str">
        <x:v>Often transient at the event level; repeated exposure patterns can persist across weeks or months.</x:v>
      </x:c>
      <x:c r="T66" s="43" t="str">
        <x:v>Exposure from high-centrality alters; referent-weighted signal count</x:v>
      </x:c>
      <x:c r="U66" s="43" t="str">
        <x:v>Time-stamped network exposure log; randomized network experiment; cascade reconstruction; panel network survey; event-history model</x:v>
      </x:c>
      <x:c r="V66" s="43" t="str">
        <x:v>High</x:v>
      </x:c>
      <x:c r="W66" s="43" t="str">
        <x:v>Exposure is not equivalent to attention, influence, or adoption; observational contagion estimates are vulnerable to homophily and shared-context confounding.</x:v>
      </x:c>
      <x:c r="X66" s="43" t="str">
        <x:v>Strong</x:v>
      </x:c>
      <x:c r="Y66" s="43" t="str">
        <x:v>Supported by converging review, meta-analytic, experimental, network, or longitudinal evidence. Specific effects and causal interpretation remain conditional on level, context, boundary, and measurement. Representative records: SRC236; SRC250; SRC237.</x:v>
      </x:c>
      <x:c r="Z66" s="43" t="str">
        <x:v>Inferring peer influence from correlated behavior among connected people without a design that separates influence from selection.</x:v>
      </x:c>
      <x:c r="AA66" s="43" t="str">
        <x:v>SRC236; SRC250; SRC237</x:v>
      </x:c>
    </x:row>
    <x:row r="67" ht="76" customHeight="1">
      <x:c r="A67" s="43" t="str">
        <x:v>SOC-063</x:v>
      </x:c>
      <x:c r="B67" s="43" t="str">
        <x:v>Cross-Cluster Exposure</x:v>
      </x:c>
      <x:c r="C67" s="43" t="str">
        <x:v>Bridging exposure; intercommunity signal exposure; cross-boundary diffusion input</x:v>
      </x:c>
      <x:c r="D67" s="43" t="str">
        <x:v>Social</x:v>
      </x:c>
      <x:c r="E67" s="43" t="str">
        <x:v>Network Exposure &amp; Social Diffusion</x:v>
      </x:c>
      <x:c r="F67" s="43" t="str">
        <x:v>The proportion or frequency of an actor's exposure to a specified signal that originates outside the actor's immediate network cluster.</x:v>
      </x:c>
      <x:c r="G67" s="43" t="str">
        <x:v>Proportion</x:v>
      </x:c>
      <x:c r="H67" s="43" t="str">
        <x:v>Cross-cluster exposures divided by all exposures; events per period</x:v>
      </x:c>
      <x:c r="I67" s="43" t="str">
        <x:v>Higher values = a greater share of exposure comes from outside the local cluster.</x:v>
      </x:c>
      <x:c r="J67" s="43" t="str">
        <x:v>Introduces nonredundant practices and information that may bridge otherwise separated normative environments.</x:v>
      </x:c>
      <x:c r="K67" s="43" t="str">
        <x:v>Neighbors' behavior; tie structure; communication frequency; seeding; clustering; cross-group ties; algorithmic mediation</x:v>
      </x:c>
      <x:c r="L67" s="43" t="str">
        <x:v>Perceived prevalence; learning; behavioral adoption; mobilization; diffusion speed; norm updating</x:v>
      </x:c>
      <x:c r="M67" s="43" t="str">
        <x:v>Simple versus complex contagion, exposure independence, tie strength, credibility, adoption threshold, baseline prevalence, and homophily.</x:v>
      </x:c>
      <x:c r="N67" s="43" t="str">
        <x:v>Network Exposure Proportion; Independent Exposure Source Count; Social Reinforcement Multiplicity; Cross-Cluster Exposure</x:v>
      </x:c>
      <x:c r="O67" s="43" t="str">
        <x:v>High</x:v>
      </x:c>
      <x:c r="P67" s="43" t="str">
        <x:v>High</x:v>
      </x:c>
      <x:c r="Q67" s="43" t="str">
        <x:v>Seconds–Minutes; Hours–Days</x:v>
      </x:c>
      <x:c r="R67" s="43" t="str">
        <x:v>Seconds–Minutes</x:v>
      </x:c>
      <x:c r="S67" s="43" t="str">
        <x:v>Often transient at the event level; repeated exposure patterns can persist across weeks or months.</x:v>
      </x:c>
      <x:c r="T67" s="43" t="str">
        <x:v>Source-community labels; cross-cluster exposure count; external-neighbor share</x:v>
      </x:c>
      <x:c r="U67" s="43" t="str">
        <x:v>Time-stamped network exposure log; randomized network experiment; cascade reconstruction; panel network survey; event-history model</x:v>
      </x:c>
      <x:c r="V67" s="43" t="str">
        <x:v>High</x:v>
      </x:c>
      <x:c r="W67" s="43" t="str">
        <x:v>Exposure is not equivalent to attention, influence, or adoption; observational contagion estimates are vulnerable to homophily and shared-context confounding.</x:v>
      </x:c>
      <x:c r="X67" s="43" t="str">
        <x:v>Moderate</x:v>
      </x:c>
      <x:c r="Y67" s="43" t="str">
        <x:v>Scientifically defensible with substantial supporting literature, while construct boundaries, causal identification, measurement, or transferability remain context dependent. Representative records: SRC234; SRC237; SRC269.</x:v>
      </x:c>
      <x:c r="Z67" s="43" t="str">
        <x:v>Inferring peer influence from correlated behavior among connected people without a design that separates influence from selection.</x:v>
      </x:c>
      <x:c r="AA67" s="43" t="str">
        <x:v>SRC234; SRC237; SRC269</x:v>
      </x:c>
    </x:row>
    <x:row r="68" ht="76" customHeight="1">
      <x:c r="A68" s="43" t="str">
        <x:v>SOC-064</x:v>
      </x:c>
      <x:c r="B68" s="43" t="str">
        <x:v>Group Size</x:v>
      </x:c>
      <x:c r="C68" s="43" t="str">
        <x:v>Team size; membership count; collective size</x:v>
      </x:c>
      <x:c r="D68" s="43" t="str">
        <x:v>Social</x:v>
      </x:c>
      <x:c r="E68" s="43" t="str">
        <x:v>Group Composition, Cohesion &amp; Deliberation</x:v>
      </x:c>
      <x:c r="F68" s="43" t="str">
        <x:v>The number of active members in a specified bounded group during a defined period or episode.</x:v>
      </x:c>
      <x:c r="G68" s="43" t="str">
        <x:v>Count</x:v>
      </x:c>
      <x:c r="H68" s="43" t="str">
        <x:v>Active-member count; average or maximum concurrent membership</x:v>
      </x:c>
      <x:c r="I68" s="43" t="str">
        <x:v>Higher values = more active group members.</x:v>
      </x:c>
      <x:c r="J68" s="43" t="str">
        <x:v>Changes coordination load, visibility of individual contributions, available expertise, coalition possibilities, and responsibility dispersion.</x:v>
      </x:c>
      <x:c r="K68" s="43" t="str">
        <x:v>Membership selection; turnover; task design; communication practice; leadership; conflict; subgroup boundaries</x:v>
      </x:c>
      <x:c r="L68" s="43" t="str">
        <x:v>Information pooling; deliberation quality; conformity pressure; cohesion; participation; group performance; polarization</x:v>
      </x:c>
      <x:c r="M68" s="43" t="str">
        <x:v>Task type, interdependence, group maturity, virtuality, decision rule, time pressure, conflict type, and level of analysis.</x:v>
      </x:c>
      <x:c r="N68" s="43" t="str">
        <x:v>Group Cohesion; Opinion Diversity; Dissent Availability; Shared Information Coverage</x:v>
      </x:c>
      <x:c r="O68" s="43" t="str">
        <x:v>Moderate</x:v>
      </x:c>
      <x:c r="P68" s="43" t="str">
        <x:v>Moderate</x:v>
      </x:c>
      <x:c r="Q68" s="43" t="str">
        <x:v>Days–Weeks; Weeks–Months</x:v>
      </x:c>
      <x:c r="R68" s="43" t="str">
        <x:v>Minutes–Hours</x:v>
      </x:c>
      <x:c r="S68" s="43" t="str">
        <x:v>Emergent group states may persist across episodes but remain sensitive to membership and task change.</x:v>
      </x:c>
      <x:c r="T68" s="43" t="str">
        <x:v>Roster count; attendance; active participant count</x:v>
      </x:c>
      <x:c r="U68" s="43" t="str">
        <x:v>Roster and composition data; meeting observation; interaction coding; group survey with referent-shift items; communication network analysis</x:v>
      </x:c>
      <x:c r="V68" s="43" t="str">
        <x:v>Moderate</x:v>
      </x:c>
      <x:c r="W68" s="43" t="str">
        <x:v>Individual reports require justified aggregation; group composition, emergent states, processes, and outcomes must remain distinct.</x:v>
      </x:c>
      <x:c r="X68" s="43" t="str">
        <x:v>Strong</x:v>
      </x:c>
      <x:c r="Y68" s="43" t="str">
        <x:v>Supported by converging review, meta-analytic, experimental, network, or longitudinal evidence. Specific effects and causal interpretation remain conditional on level, context, boundary, and measurement. Representative records: SRC239; SRC240; SRC262.</x:v>
      </x:c>
      <x:c r="Z68" s="43" t="str">
        <x:v>Assuming cohesion, diversity, or dissent has one universal effect on performance regardless of task and interaction process.</x:v>
      </x:c>
      <x:c r="AA68" s="43" t="str">
        <x:v>SRC239; SRC240; SRC262</x:v>
      </x:c>
    </x:row>
    <x:row r="69" ht="76" customHeight="1">
      <x:c r="A69" s="43" t="str">
        <x:v>SOC-065</x:v>
      </x:c>
      <x:c r="B69" s="43" t="str">
        <x:v>Group Cohesion</x:v>
      </x:c>
      <x:c r="C69" s="43" t="str">
        <x:v>Team cohesion; group integration; member attraction and commitment</x:v>
      </x:c>
      <x:c r="D69" s="43" t="str">
        <x:v>Social</x:v>
      </x:c>
      <x:c r="E69" s="43" t="str">
        <x:v>Group Composition, Cohesion &amp; Deliberation</x:v>
      </x:c>
      <x:c r="F69" s="43" t="str">
        <x:v>The strength of members' shared attraction, commitment, and tendency to remain united around social and task-related group bonds.</x:v>
      </x:c>
      <x:c r="G69" s="43" t="str">
        <x:v>Multidimensional</x:v>
      </x:c>
      <x:c r="H69" s="43" t="str">
        <x:v>Task and social cohesion dimensions; referent-shift group score</x:v>
      </x:c>
      <x:c r="I69" s="43" t="str">
        <x:v>Higher values = stronger group unity and commitment.</x:v>
      </x:c>
      <x:c r="J69" s="43" t="str">
        <x:v>Supports persistence and coordinated effort but may also increase conformity pressure when dissent and norms are poorly managed.</x:v>
      </x:c>
      <x:c r="K69" s="43" t="str">
        <x:v>Membership selection; turnover; task design; communication practice; leadership; conflict; subgroup boundaries</x:v>
      </x:c>
      <x:c r="L69" s="43" t="str">
        <x:v>Information pooling; deliberation quality; conformity pressure; cohesion; participation; group performance; polarization</x:v>
      </x:c>
      <x:c r="M69" s="43" t="str">
        <x:v>Task type, interdependence, group maturity, virtuality, decision rule, time pressure, conflict type, and level of analysis.</x:v>
      </x:c>
      <x:c r="N69" s="43" t="str">
        <x:v>Group Cohesion; Opinion Diversity; Dissent Availability; Shared Information Coverage</x:v>
      </x:c>
      <x:c r="O69" s="43" t="str">
        <x:v>Moderate</x:v>
      </x:c>
      <x:c r="P69" s="43" t="str">
        <x:v>Moderate</x:v>
      </x:c>
      <x:c r="Q69" s="43" t="str">
        <x:v>Days–Weeks; Weeks–Months</x:v>
      </x:c>
      <x:c r="R69" s="43" t="str">
        <x:v>Minutes–Hours</x:v>
      </x:c>
      <x:c r="S69" s="43" t="str">
        <x:v>Emergent group states may persist across episodes but remain sensitive to membership and task change.</x:v>
      </x:c>
      <x:c r="T69" s="43" t="str">
        <x:v>Task-cohesion ratings; social-cohesion ratings; retention; coordinated participation</x:v>
      </x:c>
      <x:c r="U69" s="43" t="str">
        <x:v>Roster and composition data; meeting observation; interaction coding; group survey with referent-shift items; communication network analysis</x:v>
      </x:c>
      <x:c r="V69" s="43" t="str">
        <x:v>Moderate</x:v>
      </x:c>
      <x:c r="W69" s="43" t="str">
        <x:v>Individual reports require justified aggregation; group composition, emergent states, processes, and outcomes must remain distinct.</x:v>
      </x:c>
      <x:c r="X69" s="43" t="str">
        <x:v>Strong</x:v>
      </x:c>
      <x:c r="Y69" s="43" t="str">
        <x:v>Supported by converging review, meta-analytic, experimental, network, or longitudinal evidence. Specific effects and causal interpretation remain conditional on level, context, boundary, and measurement. Representative records: SRC243; SRC259; SRC262.</x:v>
      </x:c>
      <x:c r="Z69" s="43" t="str">
        <x:v>Assuming cohesion, diversity, or dissent has one universal effect on performance regardless of task and interaction process.</x:v>
      </x:c>
      <x:c r="AA69" s="43" t="str">
        <x:v>SRC243; SRC259; SRC262</x:v>
      </x:c>
    </x:row>
    <x:row r="70" ht="76" customHeight="1">
      <x:c r="A70" s="43" t="str">
        <x:v>SOC-066</x:v>
      </x:c>
      <x:c r="B70" s="43" t="str">
        <x:v>Member Turnover Rate</x:v>
      </x:c>
      <x:c r="C70" s="43" t="str">
        <x:v>Group churn; membership instability; exit-entry rate</x:v>
      </x:c>
      <x:c r="D70" s="43" t="str">
        <x:v>Social</x:v>
      </x:c>
      <x:c r="E70" s="43" t="str">
        <x:v>Group Composition, Cohesion &amp; Deliberation</x:v>
      </x:c>
      <x:c r="F70" s="43" t="str">
        <x:v>The proportion of group membership that exits or is replaced within a defined interval.</x:v>
      </x:c>
      <x:c r="G70" s="43" t="str">
        <x:v>Rate</x:v>
      </x:c>
      <x:c r="H70" s="43" t="str">
        <x:v>Exits plus entries per member-period; proportion replaced per month or year</x:v>
      </x:c>
      <x:c r="I70" s="43" t="str">
        <x:v>Higher values = faster membership turnover.</x:v>
      </x:c>
      <x:c r="J70" s="43" t="str">
        <x:v>Disrupts shared history and coordination routines while introducing new ties, knowledge, and normative signals.</x:v>
      </x:c>
      <x:c r="K70" s="43" t="str">
        <x:v>Membership selection; turnover; task design; communication practice; leadership; conflict; subgroup boundaries</x:v>
      </x:c>
      <x:c r="L70" s="43" t="str">
        <x:v>Information pooling; deliberation quality; conformity pressure; cohesion; participation; group performance; polarization</x:v>
      </x:c>
      <x:c r="M70" s="43" t="str">
        <x:v>Task type, interdependence, group maturity, virtuality, decision rule, time pressure, conflict type, and level of analysis.</x:v>
      </x:c>
      <x:c r="N70" s="43" t="str">
        <x:v>Group Cohesion; Opinion Diversity; Dissent Availability; Shared Information Coverage</x:v>
      </x:c>
      <x:c r="O70" s="43" t="str">
        <x:v>Moderate</x:v>
      </x:c>
      <x:c r="P70" s="43" t="str">
        <x:v>Moderate</x:v>
      </x:c>
      <x:c r="Q70" s="43" t="str">
        <x:v>Days–Weeks; Weeks–Months</x:v>
      </x:c>
      <x:c r="R70" s="43" t="str">
        <x:v>Minutes–Hours</x:v>
      </x:c>
      <x:c r="S70" s="43" t="str">
        <x:v>Emergent group states may persist across episodes but remain sensitive to membership and task change.</x:v>
      </x:c>
      <x:c r="T70" s="43" t="str">
        <x:v>Roster transitions; entry and exit events; tenure distribution</x:v>
      </x:c>
      <x:c r="U70" s="43" t="str">
        <x:v>Roster and composition data; meeting observation; interaction coding; group survey with referent-shift items; communication network analysis</x:v>
      </x:c>
      <x:c r="V70" s="43" t="str">
        <x:v>Moderate</x:v>
      </x:c>
      <x:c r="W70" s="43" t="str">
        <x:v>Individual reports require justified aggregation; group composition, emergent states, processes, and outcomes must remain distinct.</x:v>
      </x:c>
      <x:c r="X70" s="43" t="str">
        <x:v>Moderate</x:v>
      </x:c>
      <x:c r="Y70" s="43" t="str">
        <x:v>Scientifically defensible with substantial supporting literature, while construct boundaries, causal identification, measurement, or transferability remain context dependent. Representative records: SRC254; SRC262.</x:v>
      </x:c>
      <x:c r="Z70" s="43" t="str">
        <x:v>Assuming cohesion, diversity, or dissent has one universal effect on performance regardless of task and interaction process.</x:v>
      </x:c>
      <x:c r="AA70" s="43" t="str">
        <x:v>SRC254; SRC262</x:v>
      </x:c>
    </x:row>
    <x:row r="71" ht="76" customHeight="1">
      <x:c r="A71" s="43" t="str">
        <x:v>SOC-067</x:v>
      </x:c>
      <x:c r="B71" s="43" t="str">
        <x:v>Role Differentiation</x:v>
      </x:c>
      <x:c r="C71" s="43" t="str">
        <x:v>Role specialization; functional differentiation; division of roles</x:v>
      </x:c>
      <x:c r="D71" s="43" t="str">
        <x:v>Social</x:v>
      </x:c>
      <x:c r="E71" s="43" t="str">
        <x:v>Group Composition, Cohesion &amp; Deliberation</x:v>
      </x:c>
      <x:c r="F71" s="43" t="str">
        <x:v>The degree to which members of a group occupy distinct and nonredundant social or task roles.</x:v>
      </x:c>
      <x:c r="G71" s="43" t="str">
        <x:v>Magnitude / level</x:v>
      </x:c>
      <x:c r="H71" s="43" t="str">
        <x:v>Role-diversity index; specialization score; low–high differentiation</x:v>
      </x:c>
      <x:c r="I71" s="43" t="str">
        <x:v>Higher values = greater differentiation among member roles.</x:v>
      </x:c>
      <x:c r="J71" s="43" t="str">
        <x:v>Can increase specialized capacity and coordination clarity while creating dependencies and communication interfaces.</x:v>
      </x:c>
      <x:c r="K71" s="43" t="str">
        <x:v>Membership selection; turnover; task design; communication practice; leadership; conflict; subgroup boundaries</x:v>
      </x:c>
      <x:c r="L71" s="43" t="str">
        <x:v>Information pooling; deliberation quality; conformity pressure; cohesion; participation; group performance; polarization</x:v>
      </x:c>
      <x:c r="M71" s="43" t="str">
        <x:v>Task type, interdependence, group maturity, virtuality, decision rule, time pressure, conflict type, and level of analysis.</x:v>
      </x:c>
      <x:c r="N71" s="43" t="str">
        <x:v>Group Cohesion; Opinion Diversity; Dissent Availability; Shared Information Coverage</x:v>
      </x:c>
      <x:c r="O71" s="43" t="str">
        <x:v>Moderate</x:v>
      </x:c>
      <x:c r="P71" s="43" t="str">
        <x:v>Moderate</x:v>
      </x:c>
      <x:c r="Q71" s="43" t="str">
        <x:v>Days–Weeks; Weeks–Months</x:v>
      </x:c>
      <x:c r="R71" s="43" t="str">
        <x:v>Minutes–Hours</x:v>
      </x:c>
      <x:c r="S71" s="43" t="str">
        <x:v>Emergent group states may persist across episodes but remain sensitive to membership and task change.</x:v>
      </x:c>
      <x:c r="T71" s="43" t="str">
        <x:v>Distinct role count; role overlap; specialization matrix</x:v>
      </x:c>
      <x:c r="U71" s="43" t="str">
        <x:v>Roster and composition data; meeting observation; interaction coding; group survey with referent-shift items; communication network analysis</x:v>
      </x:c>
      <x:c r="V71" s="43" t="str">
        <x:v>Moderate</x:v>
      </x:c>
      <x:c r="W71" s="43" t="str">
        <x:v>Individual reports require justified aggregation; group composition, emergent states, processes, and outcomes must remain distinct.</x:v>
      </x:c>
      <x:c r="X71" s="43" t="str">
        <x:v>Moderate</x:v>
      </x:c>
      <x:c r="Y71" s="43" t="str">
        <x:v>Scientifically defensible with substantial supporting literature, while construct boundaries, causal identification, measurement, or transferability remain context dependent. Representative records: SRC262; SRC267.</x:v>
      </x:c>
      <x:c r="Z71" s="43" t="str">
        <x:v>Assuming cohesion, diversity, or dissent has one universal effect on performance regardless of task and interaction process.</x:v>
      </x:c>
      <x:c r="AA71" s="43" t="str">
        <x:v>SRC262; SRC267</x:v>
      </x:c>
    </x:row>
    <x:row r="72" ht="76" customHeight="1">
      <x:c r="A72" s="43" t="str">
        <x:v>SOC-068</x:v>
      </x:c>
      <x:c r="B72" s="43" t="str">
        <x:v>Opinion Diversity</x:v>
      </x:c>
      <x:c r="C72" s="43" t="str">
        <x:v>Viewpoint diversity; attitudinal heterogeneity; preference dispersion</x:v>
      </x:c>
      <x:c r="D72" s="43" t="str">
        <x:v>Social</x:v>
      </x:c>
      <x:c r="E72" s="43" t="str">
        <x:v>Group Composition, Cohesion &amp; Deliberation</x:v>
      </x:c>
      <x:c r="F72" s="43" t="str">
        <x:v>The dispersion of members' positions on a specified issue within a defined group.</x:v>
      </x:c>
      <x:c r="G72" s="43" t="str">
        <x:v>Magnitude / level</x:v>
      </x:c>
      <x:c r="H72" s="43" t="str">
        <x:v>Variance, range, entropy, or categorical diversity of issue positions</x:v>
      </x:c>
      <x:c r="I72" s="43" t="str">
        <x:v>Higher values = greater dispersion of member positions.</x:v>
      </x:c>
      <x:c r="J72" s="43" t="str">
        <x:v>Expands the pool of alternatives and arguments but can raise conflict or coordination costs depending on deliberative conditions.</x:v>
      </x:c>
      <x:c r="K72" s="43" t="str">
        <x:v>Membership selection; turnover; task design; communication practice; leadership; conflict; subgroup boundaries</x:v>
      </x:c>
      <x:c r="L72" s="43" t="str">
        <x:v>Information pooling; deliberation quality; conformity pressure; cohesion; participation; group performance; polarization</x:v>
      </x:c>
      <x:c r="M72" s="43" t="str">
        <x:v>Task type, interdependence, group maturity, virtuality, decision rule, time pressure, conflict type, and level of analysis.</x:v>
      </x:c>
      <x:c r="N72" s="43" t="str">
        <x:v>Group Cohesion; Opinion Diversity; Dissent Availability; Shared Information Coverage</x:v>
      </x:c>
      <x:c r="O72" s="43" t="str">
        <x:v>Moderate</x:v>
      </x:c>
      <x:c r="P72" s="43" t="str">
        <x:v>Moderate</x:v>
      </x:c>
      <x:c r="Q72" s="43" t="str">
        <x:v>Days–Weeks; Weeks–Months</x:v>
      </x:c>
      <x:c r="R72" s="43" t="str">
        <x:v>Minutes–Hours</x:v>
      </x:c>
      <x:c r="S72" s="43" t="str">
        <x:v>Emergent group states may persist across episodes but remain sensitive to membership and task change.</x:v>
      </x:c>
      <x:c r="T72" s="43" t="str">
        <x:v>Position variance; viewpoint categories; preference distribution</x:v>
      </x:c>
      <x:c r="U72" s="43" t="str">
        <x:v>Roster and composition data; meeting observation; interaction coding; group survey with referent-shift items; communication network analysis</x:v>
      </x:c>
      <x:c r="V72" s="43" t="str">
        <x:v>Moderate</x:v>
      </x:c>
      <x:c r="W72" s="43" t="str">
        <x:v>Individual reports require justified aggregation; group composition, emergent states, processes, and outcomes must remain distinct.</x:v>
      </x:c>
      <x:c r="X72" s="43" t="str">
        <x:v>Moderate</x:v>
      </x:c>
      <x:c r="Y72" s="43" t="str">
        <x:v>Scientifically defensible with substantial supporting literature, while construct boundaries, causal identification, measurement, or transferability remain context dependent. Representative records: SRC242; SRC214; SRC271.</x:v>
      </x:c>
      <x:c r="Z72" s="43" t="str">
        <x:v>Assuming cohesion, diversity, or dissent has one universal effect on performance regardless of task and interaction process.</x:v>
      </x:c>
      <x:c r="AA72" s="43" t="str">
        <x:v>SRC242; SRC214; SRC271</x:v>
      </x:c>
    </x:row>
    <x:row r="73" ht="76" customHeight="1">
      <x:c r="A73" s="43" t="str">
        <x:v>SOC-069</x:v>
      </x:c>
      <x:c r="B73" s="43" t="str">
        <x:v>Dissent Availability</x:v>
      </x:c>
      <x:c r="C73" s="43" t="str">
        <x:v>Visible dissent; deviant viewpoint availability; alternative position presence</x:v>
      </x:c>
      <x:c r="D73" s="43" t="str">
        <x:v>Social</x:v>
      </x:c>
      <x:c r="E73" s="43" t="str">
        <x:v>Group Composition, Cohesion &amp; Deliberation</x:v>
      </x:c>
      <x:c r="F73" s="43" t="str">
        <x:v>The number or accessibility of group members who openly express a position that differs from the current majority or leader.</x:v>
      </x:c>
      <x:c r="G73" s="43" t="str">
        <x:v>Count</x:v>
      </x:c>
      <x:c r="H73" s="43" t="str">
        <x:v>Visible dissenters; dissent statements per meeting; accessible alternative positions</x:v>
      </x:c>
      <x:c r="I73" s="43" t="str">
        <x:v>Higher values = more available and visible dissent.</x:v>
      </x:c>
      <x:c r="J73" s="43" t="str">
        <x:v>Provides social validation for alternatives and can reduce false consensus, conformity pressure, and premature closure.</x:v>
      </x:c>
      <x:c r="K73" s="43" t="str">
        <x:v>Membership selection; turnover; task design; communication practice; leadership; conflict; subgroup boundaries</x:v>
      </x:c>
      <x:c r="L73" s="43" t="str">
        <x:v>Information pooling; deliberation quality; conformity pressure; cohesion; participation; group performance; polarization</x:v>
      </x:c>
      <x:c r="M73" s="43" t="str">
        <x:v>Task type, interdependence, group maturity, virtuality, decision rule, time pressure, conflict type, and level of analysis.</x:v>
      </x:c>
      <x:c r="N73" s="43" t="str">
        <x:v>Group Cohesion; Opinion Diversity; Dissent Availability; Shared Information Coverage</x:v>
      </x:c>
      <x:c r="O73" s="43" t="str">
        <x:v>Moderate</x:v>
      </x:c>
      <x:c r="P73" s="43" t="str">
        <x:v>Moderate</x:v>
      </x:c>
      <x:c r="Q73" s="43" t="str">
        <x:v>Days–Weeks; Weeks–Months</x:v>
      </x:c>
      <x:c r="R73" s="43" t="str">
        <x:v>Minutes–Hours</x:v>
      </x:c>
      <x:c r="S73" s="43" t="str">
        <x:v>Emergent group states may persist across episodes but remain sensitive to membership and task change.</x:v>
      </x:c>
      <x:c r="T73" s="43" t="str">
        <x:v>Dissenter count; minority statements; invitations to challenge; recorded objections</x:v>
      </x:c>
      <x:c r="U73" s="43" t="str">
        <x:v>Roster and composition data; meeting observation; interaction coding; group survey with referent-shift items; communication network analysis</x:v>
      </x:c>
      <x:c r="V73" s="43" t="str">
        <x:v>Moderate</x:v>
      </x:c>
      <x:c r="W73" s="43" t="str">
        <x:v>Individual reports require justified aggregation; group composition, emergent states, processes, and outcomes must remain distinct.</x:v>
      </x:c>
      <x:c r="X73" s="43" t="str">
        <x:v>Strong</x:v>
      </x:c>
      <x:c r="Y73" s="43" t="str">
        <x:v>Supported by converging review, meta-analytic, experimental, network, or longitudinal evidence. Specific effects and causal interpretation remain conditional on level, context, boundary, and measurement. Representative records: SRC213; SRC214; SRC271.</x:v>
      </x:c>
      <x:c r="Z73" s="43" t="str">
        <x:v>Assuming cohesion, diversity, or dissent has one universal effect on performance regardless of task and interaction process.</x:v>
      </x:c>
      <x:c r="AA73" s="43" t="str">
        <x:v>SRC213; SRC214; SRC271</x:v>
      </x:c>
    </x:row>
    <x:row r="74" ht="76" customHeight="1">
      <x:c r="A74" s="43" t="str">
        <x:v>SOC-070</x:v>
      </x:c>
      <x:c r="B74" s="43" t="str">
        <x:v>Communication Participation Equality</x:v>
      </x:c>
      <x:c r="C74" s="43" t="str">
        <x:v>Speaking-time equality; participation balance; conversational equality</x:v>
      </x:c>
      <x:c r="D74" s="43" t="str">
        <x:v>Social</x:v>
      </x:c>
      <x:c r="E74" s="43" t="str">
        <x:v>Group Composition, Cohesion &amp; Deliberation</x:v>
      </x:c>
      <x:c r="F74" s="43" t="str">
        <x:v>The degree to which group communication opportunities and speaking time are distributed evenly among members.</x:v>
      </x:c>
      <x:c r="G74" s="43" t="str">
        <x:v>Magnitude / level</x:v>
      </x:c>
      <x:c r="H74" s="43" t="str">
        <x:v>Inverse concentration of turns or speaking time; participation Gini reversed</x:v>
      </x:c>
      <x:c r="I74" s="43" t="str">
        <x:v>Higher values = more equal communication participation.</x:v>
      </x:c>
      <x:c r="J74" s="43" t="str">
        <x:v>Broadens whose information and concerns enter deliberation and reduces domination by a small subset of members.</x:v>
      </x:c>
      <x:c r="K74" s="43" t="str">
        <x:v>Membership selection; turnover; task design; communication practice; leadership; conflict; subgroup boundaries</x:v>
      </x:c>
      <x:c r="L74" s="43" t="str">
        <x:v>Information pooling; deliberation quality; conformity pressure; cohesion; participation; group performance; polarization</x:v>
      </x:c>
      <x:c r="M74" s="43" t="str">
        <x:v>Task type, interdependence, group maturity, virtuality, decision rule, time pressure, conflict type, and level of analysis.</x:v>
      </x:c>
      <x:c r="N74" s="43" t="str">
        <x:v>Group Cohesion; Opinion Diversity; Dissent Availability; Shared Information Coverage</x:v>
      </x:c>
      <x:c r="O74" s="43" t="str">
        <x:v>Moderate</x:v>
      </x:c>
      <x:c r="P74" s="43" t="str">
        <x:v>Moderate</x:v>
      </x:c>
      <x:c r="Q74" s="43" t="str">
        <x:v>Days–Weeks; Weeks–Months</x:v>
      </x:c>
      <x:c r="R74" s="43" t="str">
        <x:v>Minutes–Hours</x:v>
      </x:c>
      <x:c r="S74" s="43" t="str">
        <x:v>Emergent group states may persist across episodes but remain sensitive to membership and task change.</x:v>
      </x:c>
      <x:c r="T74" s="43" t="str">
        <x:v>Turn distribution; speaking-time shares; message contribution equality</x:v>
      </x:c>
      <x:c r="U74" s="43" t="str">
        <x:v>Roster and composition data; meeting observation; interaction coding; group survey with referent-shift items; communication network analysis</x:v>
      </x:c>
      <x:c r="V74" s="43" t="str">
        <x:v>Moderate</x:v>
      </x:c>
      <x:c r="W74" s="43" t="str">
        <x:v>Individual reports require justified aggregation; group composition, emergent states, processes, and outcomes must remain distinct.</x:v>
      </x:c>
      <x:c r="X74" s="43" t="str">
        <x:v>Moderate</x:v>
      </x:c>
      <x:c r="Y74" s="43" t="str">
        <x:v>Scientifically defensible with substantial supporting literature, while construct boundaries, causal identification, measurement, or transferability remain context dependent. Representative records: SRC263; SRC267.</x:v>
      </x:c>
      <x:c r="Z74" s="43" t="str">
        <x:v>Assuming cohesion, diversity, or dissent has one universal effect on performance regardless of task and interaction process.</x:v>
      </x:c>
      <x:c r="AA74" s="43" t="str">
        <x:v>SRC263; SRC267</x:v>
      </x:c>
    </x:row>
    <x:row r="75" ht="76" customHeight="1">
      <x:c r="A75" s="43" t="str">
        <x:v>SOC-071</x:v>
      </x:c>
      <x:c r="B75" s="43" t="str">
        <x:v>Shared Information Coverage</x:v>
      </x:c>
      <x:c r="C75" s="43" t="str">
        <x:v>Information pooling; common information coverage; knowledge contribution breadth</x:v>
      </x:c>
      <x:c r="D75" s="43" t="str">
        <x:v>Social</x:v>
      </x:c>
      <x:c r="E75" s="43" t="str">
        <x:v>Group Composition, Cohesion &amp; Deliberation</x:v>
      </x:c>
      <x:c r="F75" s="43" t="str">
        <x:v>The proportion of task-relevant information distributed across group members that is introduced into collective discussion.</x:v>
      </x:c>
      <x:c r="G75" s="43" t="str">
        <x:v>Proportion</x:v>
      </x:c>
      <x:c r="H75" s="43" t="str">
        <x:v>Discussed unique information divided by all task-relevant distributed information</x:v>
      </x:c>
      <x:c r="I75" s="43" t="str">
        <x:v>Higher values = more complete pooling of distributed information.</x:v>
      </x:c>
      <x:c r="J75" s="43" t="str">
        <x:v>Improves the collective evidence base and reduces decisions driven only by information already common to all members.</x:v>
      </x:c>
      <x:c r="K75" s="43" t="str">
        <x:v>Membership selection; turnover; task design; communication practice; leadership; conflict; subgroup boundaries</x:v>
      </x:c>
      <x:c r="L75" s="43" t="str">
        <x:v>Information pooling; deliberation quality; conformity pressure; cohesion; participation; group performance; polarization</x:v>
      </x:c>
      <x:c r="M75" s="43" t="str">
        <x:v>Task type, interdependence, group maturity, virtuality, decision rule, time pressure, conflict type, and level of analysis.</x:v>
      </x:c>
      <x:c r="N75" s="43" t="str">
        <x:v>Group Cohesion; Opinion Diversity; Dissent Availability; Shared Information Coverage</x:v>
      </x:c>
      <x:c r="O75" s="43" t="str">
        <x:v>Moderate</x:v>
      </x:c>
      <x:c r="P75" s="43" t="str">
        <x:v>Moderate</x:v>
      </x:c>
      <x:c r="Q75" s="43" t="str">
        <x:v>Days–Weeks; Weeks–Months</x:v>
      </x:c>
      <x:c r="R75" s="43" t="str">
        <x:v>Minutes–Hours</x:v>
      </x:c>
      <x:c r="S75" s="43" t="str">
        <x:v>Emergent group states may persist across episodes but remain sensitive to membership and task change.</x:v>
      </x:c>
      <x:c r="T75" s="43" t="str">
        <x:v>Unique facts mentioned; discussion coverage; member-knowledge contribution</x:v>
      </x:c>
      <x:c r="U75" s="43" t="str">
        <x:v>Roster and composition data; meeting observation; interaction coding; group survey with referent-shift items; communication network analysis</x:v>
      </x:c>
      <x:c r="V75" s="43" t="str">
        <x:v>Moderate</x:v>
      </x:c>
      <x:c r="W75" s="43" t="str">
        <x:v>Individual reports require justified aggregation; group composition, emergent states, processes, and outcomes must remain distinct.</x:v>
      </x:c>
      <x:c r="X75" s="43" t="str">
        <x:v>Strong</x:v>
      </x:c>
      <x:c r="Y75" s="43" t="str">
        <x:v>Supported by converging review, meta-analytic, experimental, network, or longitudinal evidence. Specific effects and causal interpretation remain conditional on level, context, boundary, and measurement. Representative records: SRC263; SRC267.</x:v>
      </x:c>
      <x:c r="Z75" s="43" t="str">
        <x:v>Assuming cohesion, diversity, or dissent has one universal effect on performance regardless of task and interaction process.</x:v>
      </x:c>
      <x:c r="AA75" s="43" t="str">
        <x:v>SRC263; SRC267</x:v>
      </x:c>
    </x:row>
    <x:row r="76" ht="76" customHeight="1">
      <x:c r="A76" s="43" t="str">
        <x:v>SOC-072</x:v>
      </x:c>
      <x:c r="B76" s="43" t="str">
        <x:v>Subgroup Fractionalization</x:v>
      </x:c>
      <x:c r="C76" s="43" t="str">
        <x:v>Factionalization; subgroup faultline strength; internal cleavage</x:v>
      </x:c>
      <x:c r="D76" s="43" t="str">
        <x:v>Social</x:v>
      </x:c>
      <x:c r="E76" s="43" t="str">
        <x:v>Group Composition, Cohesion &amp; Deliberation</x:v>
      </x:c>
      <x:c r="F76" s="43" t="str">
        <x:v>The degree to which a group partitions into internally cohesive and mutually separated subgroups.</x:v>
      </x:c>
      <x:c r="G76" s="43" t="str">
        <x:v>Magnitude / level</x:v>
      </x:c>
      <x:c r="H76" s="43" t="str">
        <x:v>Community modularity; faultline strength; subgroup separation index</x:v>
      </x:c>
      <x:c r="I76" s="43" t="str">
        <x:v>Higher values = stronger partitioning into distinct subgroups.</x:v>
      </x:c>
      <x:c r="J76" s="43" t="str">
        <x:v>Concentrates interaction within factions and can reduce information flow, trust, and coordination across the group.</x:v>
      </x:c>
      <x:c r="K76" s="43" t="str">
        <x:v>Membership selection; turnover; task design; communication practice; leadership; conflict; subgroup boundaries</x:v>
      </x:c>
      <x:c r="L76" s="43" t="str">
        <x:v>Information pooling; deliberation quality; conformity pressure; cohesion; participation; group performance; polarization</x:v>
      </x:c>
      <x:c r="M76" s="43" t="str">
        <x:v>Task type, interdependence, group maturity, virtuality, decision rule, time pressure, conflict type, and level of analysis.</x:v>
      </x:c>
      <x:c r="N76" s="43" t="str">
        <x:v>Group Cohesion; Opinion Diversity; Dissent Availability; Shared Information Coverage</x:v>
      </x:c>
      <x:c r="O76" s="43" t="str">
        <x:v>Moderate</x:v>
      </x:c>
      <x:c r="P76" s="43" t="str">
        <x:v>Moderate</x:v>
      </x:c>
      <x:c r="Q76" s="43" t="str">
        <x:v>Days–Weeks; Weeks–Months</x:v>
      </x:c>
      <x:c r="R76" s="43" t="str">
        <x:v>Minutes–Hours</x:v>
      </x:c>
      <x:c r="S76" s="43" t="str">
        <x:v>Emergent group states may persist across episodes but remain sensitive to membership and task change.</x:v>
      </x:c>
      <x:c r="T76" s="43" t="str">
        <x:v>Community structure; cross-subgroup ties; aligned attribute cleavages</x:v>
      </x:c>
      <x:c r="U76" s="43" t="str">
        <x:v>Roster and composition data; meeting observation; interaction coding; group survey with referent-shift items; communication network analysis</x:v>
      </x:c>
      <x:c r="V76" s="43" t="str">
        <x:v>Moderate</x:v>
      </x:c>
      <x:c r="W76" s="43" t="str">
        <x:v>Individual reports require justified aggregation; group composition, emergent states, processes, and outcomes must remain distinct.</x:v>
      </x:c>
      <x:c r="X76" s="43" t="str">
        <x:v>Moderate</x:v>
      </x:c>
      <x:c r="Y76" s="43" t="str">
        <x:v>Scientifically defensible with substantial supporting literature, while construct boundaries, causal identification, measurement, or transferability remain context dependent. Representative records: SRC254; SRC267; SRC233.</x:v>
      </x:c>
      <x:c r="Z76" s="43" t="str">
        <x:v>Assuming cohesion, diversity, or dissent has one universal effect on performance regardless of task and interaction process.</x:v>
      </x:c>
      <x:c r="AA76" s="43" t="str">
        <x:v>SRC254; SRC267; SRC233</x:v>
      </x:c>
    </x:row>
    <x:row r="77" ht="76" customHeight="1">
      <x:c r="A77" s="43" t="str">
        <x:v>SOC-073</x:v>
      </x:c>
      <x:c r="B77" s="43" t="str">
        <x:v>Task Interdependence</x:v>
      </x:c>
      <x:c r="C77" s="43" t="str">
        <x:v>Workflow interdependence; reciprocal task dependence; joint-task coupling</x:v>
      </x:c>
      <x:c r="D77" s="43" t="str">
        <x:v>Social</x:v>
      </x:c>
      <x:c r="E77" s="43" t="str">
        <x:v>Coordination, Accountability &amp; Collective Capacity</x:v>
      </x:c>
      <x:c r="F77" s="43" t="str">
        <x:v>The degree to which members must rely on one another's inputs, actions, or outputs to complete a specified collective task.</x:v>
      </x:c>
      <x:c r="G77" s="43" t="str">
        <x:v>Magnitude / level</x:v>
      </x:c>
      <x:c r="H77" s="43" t="str">
        <x:v>Independent–pooled–sequential–reciprocal interdependence; low–high coupling</x:v>
      </x:c>
      <x:c r="I77" s="43" t="str">
        <x:v>Higher values = greater dependence among members' task contributions.</x:v>
      </x:c>
      <x:c r="J77" s="43" t="str">
        <x:v>Raises the value and difficulty of coordination by linking one member's performance and timing to others.</x:v>
      </x:c>
      <x:c r="K77" s="43" t="str">
        <x:v>Task design; communication; role assignment; shared experience; leadership; feedback; accountability arrangements</x:v>
      </x:c>
      <x:c r="L77" s="43" t="str">
        <x:v>Coordination attempts; collective action; contribution; error correction; collective persistence; bystander intervention</x:v>
      </x:c>
      <x:c r="M77" s="43" t="str">
        <x:v>Group size, common goals, task uncertainty, interdependence, communication reliability, anonymity, and formal constraints.</x:v>
      </x:c>
      <x:c r="N77" s="43" t="str">
        <x:v>Task Interdependence; Common Knowledge Degree; Collective Efficacy; Contribution Identifiability</x:v>
      </x:c>
      <x:c r="O77" s="43" t="str">
        <x:v>Moderate</x:v>
      </x:c>
      <x:c r="P77" s="43" t="str">
        <x:v>Moderate</x:v>
      </x:c>
      <x:c r="Q77" s="43" t="str">
        <x:v>Hours–Days; Days–Weeks</x:v>
      </x:c>
      <x:c r="R77" s="43" t="str">
        <x:v>Seconds–Minutes</x:v>
      </x:c>
      <x:c r="S77" s="43" t="str">
        <x:v>Can improve within an episode and persist with stable roles, knowledge, and repeated practice.</x:v>
      </x:c>
      <x:c r="T77" s="43" t="str">
        <x:v>Workflow dependencies; handoff count; shared-input requirement; reciprocal task links</x:v>
      </x:c>
      <x:c r="U77" s="43" t="str">
        <x:v>Team-task design coding; shared-knowledge test; behavioral coordination task; referent-shift survey; contribution and accountability record</x:v>
      </x:c>
      <x:c r="V77" s="43" t="str">
        <x:v>Moderate</x:v>
      </x:c>
      <x:c r="W77" s="43" t="str">
        <x:v>Shared belief, shared information, common knowledge, mutual expectations, and objective capability are related but not equivalent.</x:v>
      </x:c>
      <x:c r="X77" s="43" t="str">
        <x:v>Strong</x:v>
      </x:c>
      <x:c r="Y77" s="43" t="str">
        <x:v>Supported by converging review, meta-analytic, experimental, network, or longitudinal evidence. Specific effects and causal interpretation remain conditional on level, context, boundary, and measurement. Representative records: SRC259; SRC261; SRC262.</x:v>
      </x:c>
      <x:c r="Z77" s="43" t="str">
        <x:v>Treating collective efficacy as the sum of individual self-efficacy or treating role clarity and accountability as guaranteed coordination.</x:v>
      </x:c>
      <x:c r="AA77" s="43" t="str">
        <x:v>SRC259; SRC261; SRC262</x:v>
      </x:c>
    </x:row>
    <x:row r="78" ht="76" customHeight="1">
      <x:c r="A78" s="43" t="str">
        <x:v>SOC-074</x:v>
      </x:c>
      <x:c r="B78" s="43" t="str">
        <x:v>Goal Alignment</x:v>
      </x:c>
      <x:c r="C78" s="43" t="str">
        <x:v>Shared-goal congruence; objective alignment; common purpose</x:v>
      </x:c>
      <x:c r="D78" s="43" t="str">
        <x:v>Social</x:v>
      </x:c>
      <x:c r="E78" s="43" t="str">
        <x:v>Coordination, Accountability &amp; Collective Capacity</x:v>
      </x:c>
      <x:c r="F78" s="43" t="str">
        <x:v>The degree of correspondence among group members' stated or behaviorally revealed goals for a specified collective episode.</x:v>
      </x:c>
      <x:c r="G78" s="43" t="str">
        <x:v>Magnitude / level</x:v>
      </x:c>
      <x:c r="H78" s="43" t="str">
        <x:v>Goal-overlap score; priority-rank agreement; low–high alignment</x:v>
      </x:c>
      <x:c r="I78" s="43" t="str">
        <x:v>Higher values = greater alignment of member goals.</x:v>
      </x:c>
      <x:c r="J78" s="43" t="str">
        <x:v>Reduces strategic conflict and makes coordinated contributions more likely to point toward a common outcome.</x:v>
      </x:c>
      <x:c r="K78" s="43" t="str">
        <x:v>Task design; communication; role assignment; shared experience; leadership; feedback; accountability arrangements</x:v>
      </x:c>
      <x:c r="L78" s="43" t="str">
        <x:v>Coordination attempts; collective action; contribution; error correction; collective persistence; bystander intervention</x:v>
      </x:c>
      <x:c r="M78" s="43" t="str">
        <x:v>Group size, common goals, task uncertainty, interdependence, communication reliability, anonymity, and formal constraints.</x:v>
      </x:c>
      <x:c r="N78" s="43" t="str">
        <x:v>Task Interdependence; Common Knowledge Degree; Collective Efficacy; Contribution Identifiability</x:v>
      </x:c>
      <x:c r="O78" s="43" t="str">
        <x:v>Moderate</x:v>
      </x:c>
      <x:c r="P78" s="43" t="str">
        <x:v>Moderate</x:v>
      </x:c>
      <x:c r="Q78" s="43" t="str">
        <x:v>Hours–Days; Days–Weeks</x:v>
      </x:c>
      <x:c r="R78" s="43" t="str">
        <x:v>Seconds–Minutes</x:v>
      </x:c>
      <x:c r="S78" s="43" t="str">
        <x:v>Can improve within an episode and persist with stable roles, knowledge, and repeated practice.</x:v>
      </x:c>
      <x:c r="T78" s="43" t="str">
        <x:v>Goal statements; priority rankings; resource-allocation congruence</x:v>
      </x:c>
      <x:c r="U78" s="43" t="str">
        <x:v>Team-task design coding; shared-knowledge test; behavioral coordination task; referent-shift survey; contribution and accountability record</x:v>
      </x:c>
      <x:c r="V78" s="43" t="str">
        <x:v>Moderate</x:v>
      </x:c>
      <x:c r="W78" s="43" t="str">
        <x:v>Shared belief, shared information, common knowledge, mutual expectations, and objective capability are related but not equivalent.</x:v>
      </x:c>
      <x:c r="X78" s="43" t="str">
        <x:v>Strong</x:v>
      </x:c>
      <x:c r="Y78" s="43" t="str">
        <x:v>Supported by converging review, meta-analytic, experimental, network, or longitudinal evidence. Specific effects and causal interpretation remain conditional on level, context, boundary, and measurement. Representative records: SRC238; SRC261; SRC267.</x:v>
      </x:c>
      <x:c r="Z78" s="43" t="str">
        <x:v>Treating collective efficacy as the sum of individual self-efficacy or treating role clarity and accountability as guaranteed coordination.</x:v>
      </x:c>
      <x:c r="AA78" s="43" t="str">
        <x:v>SRC238; SRC261; SRC267</x:v>
      </x:c>
    </x:row>
    <x:row r="79" ht="76" customHeight="1">
      <x:c r="A79" s="43" t="str">
        <x:v>SOC-075</x:v>
      </x:c>
      <x:c r="B79" s="43" t="str">
        <x:v>Common Knowledge Degree</x:v>
      </x:c>
      <x:c r="C79" s="43" t="str">
        <x:v>Public mutual knowledge; recursive shared knowledge; common ground</x:v>
      </x:c>
      <x:c r="D79" s="43" t="str">
        <x:v>Social</x:v>
      </x:c>
      <x:c r="E79" s="43" t="str">
        <x:v>Coordination, Accountability &amp; Collective Capacity</x:v>
      </x:c>
      <x:c r="F79" s="43" t="str">
        <x:v>The degree to which specified information is mutually known and publicly recognizable as mutually known among relevant actors.</x:v>
      </x:c>
      <x:c r="G79" s="43" t="str">
        <x:v>Magnitude / level</x:v>
      </x:c>
      <x:c r="H79" s="43" t="str">
        <x:v>Private–shared–common knowledge condition; recursive-knowledge depth; low–high commonality</x:v>
      </x:c>
      <x:c r="I79" s="43" t="str">
        <x:v>Higher values = stronger mutual recognition that all relevant actors know the information.</x:v>
      </x:c>
      <x:c r="J79" s="43" t="str">
        <x:v>Supports risky coordination by making expectations about others' awareness mutually transparent.</x:v>
      </x:c>
      <x:c r="K79" s="43" t="str">
        <x:v>Task design; communication; role assignment; shared experience; leadership; feedback; accountability arrangements</x:v>
      </x:c>
      <x:c r="L79" s="43" t="str">
        <x:v>Coordination attempts; collective action; contribution; error correction; collective persistence; bystander intervention</x:v>
      </x:c>
      <x:c r="M79" s="43" t="str">
        <x:v>Group size, common goals, task uncertainty, interdependence, communication reliability, anonymity, and formal constraints.</x:v>
      </x:c>
      <x:c r="N79" s="43" t="str">
        <x:v>Task Interdependence; Common Knowledge Degree; Collective Efficacy; Contribution Identifiability</x:v>
      </x:c>
      <x:c r="O79" s="43" t="str">
        <x:v>Moderate</x:v>
      </x:c>
      <x:c r="P79" s="43" t="str">
        <x:v>Moderate</x:v>
      </x:c>
      <x:c r="Q79" s="43" t="str">
        <x:v>Hours–Days; Days–Weeks</x:v>
      </x:c>
      <x:c r="R79" s="43" t="str">
        <x:v>Seconds–Minutes</x:v>
      </x:c>
      <x:c r="S79" s="43" t="str">
        <x:v>Can improve within an episode and persist with stable roles, knowledge, and repeated practice.</x:v>
      </x:c>
      <x:c r="T79" s="43" t="str">
        <x:v>Public announcement condition; mutual-knowledge test; recursive belief elicitation</x:v>
      </x:c>
      <x:c r="U79" s="43" t="str">
        <x:v>Team-task design coding; shared-knowledge test; behavioral coordination task; referent-shift survey; contribution and accountability record</x:v>
      </x:c>
      <x:c r="V79" s="43" t="str">
        <x:v>Moderate</x:v>
      </x:c>
      <x:c r="W79" s="43" t="str">
        <x:v>Shared belief, shared information, common knowledge, mutual expectations, and objective capability are related but not equivalent.</x:v>
      </x:c>
      <x:c r="X79" s="43" t="str">
        <x:v>Strong</x:v>
      </x:c>
      <x:c r="Y79" s="43" t="str">
        <x:v>Supported by converging review, meta-analytic, experimental, network, or longitudinal evidence. Specific effects and causal interpretation remain conditional on level, context, boundary, and measurement. Representative records: SRC261; SRC265.</x:v>
      </x:c>
      <x:c r="Z79" s="43" t="str">
        <x:v>Treating collective efficacy as the sum of individual self-efficacy or treating role clarity and accountability as guaranteed coordination.</x:v>
      </x:c>
      <x:c r="AA79" s="43" t="str">
        <x:v>SRC261; SRC265</x:v>
      </x:c>
    </x:row>
    <x:row r="80" ht="76" customHeight="1">
      <x:c r="A80" s="43" t="str">
        <x:v>SOC-076</x:v>
      </x:c>
      <x:c r="B80" s="43" t="str">
        <x:v>Mutual Expectation Alignment</x:v>
      </x:c>
      <x:c r="C80" s="43" t="str">
        <x:v>Coordination expectations; second-order expectation agreement; expectation convergence</x:v>
      </x:c>
      <x:c r="D80" s="43" t="str">
        <x:v>Social</x:v>
      </x:c>
      <x:c r="E80" s="43" t="str">
        <x:v>Coordination, Accountability &amp; Collective Capacity</x:v>
      </x:c>
      <x:c r="F80" s="43" t="str">
        <x:v>The degree to which actors' expectations about one another's likely actions are mutually consistent for a specified situation.</x:v>
      </x:c>
      <x:c r="G80" s="43" t="str">
        <x:v>Magnitude / level</x:v>
      </x:c>
      <x:c r="H80" s="43" t="str">
        <x:v>Pairwise expectation agreement; prediction-consistency score; low–high alignment</x:v>
      </x:c>
      <x:c r="I80" s="43" t="str">
        <x:v>Higher values = greater agreement in actors' expectations about one another.</x:v>
      </x:c>
      <x:c r="J80" s="43" t="str">
        <x:v>Reduces strategic uncertainty and helps actors select compatible actions without direct control.</x:v>
      </x:c>
      <x:c r="K80" s="43" t="str">
        <x:v>Task design; communication; role assignment; shared experience; leadership; feedback; accountability arrangements</x:v>
      </x:c>
      <x:c r="L80" s="43" t="str">
        <x:v>Coordination attempts; collective action; contribution; error correction; collective persistence; bystander intervention</x:v>
      </x:c>
      <x:c r="M80" s="43" t="str">
        <x:v>Group size, common goals, task uncertainty, interdependence, communication reliability, anonymity, and formal constraints.</x:v>
      </x:c>
      <x:c r="N80" s="43" t="str">
        <x:v>Task Interdependence; Common Knowledge Degree; Collective Efficacy; Contribution Identifiability</x:v>
      </x:c>
      <x:c r="O80" s="43" t="str">
        <x:v>Moderate</x:v>
      </x:c>
      <x:c r="P80" s="43" t="str">
        <x:v>Moderate</x:v>
      </x:c>
      <x:c r="Q80" s="43" t="str">
        <x:v>Hours–Days; Days–Weeks</x:v>
      </x:c>
      <x:c r="R80" s="43" t="str">
        <x:v>Seconds–Minutes</x:v>
      </x:c>
      <x:c r="S80" s="43" t="str">
        <x:v>Can improve within an episode and persist with stable roles, knowledge, and repeated practice.</x:v>
      </x:c>
      <x:c r="T80" s="43" t="str">
        <x:v>Cross-prediction accuracy; expectation matrices; coordination-choice convergence</x:v>
      </x:c>
      <x:c r="U80" s="43" t="str">
        <x:v>Team-task design coding; shared-knowledge test; behavioral coordination task; referent-shift survey; contribution and accountability record</x:v>
      </x:c>
      <x:c r="V80" s="43" t="str">
        <x:v>Moderate</x:v>
      </x:c>
      <x:c r="W80" s="43" t="str">
        <x:v>Shared belief, shared information, common knowledge, mutual expectations, and objective capability are related but not equivalent.</x:v>
      </x:c>
      <x:c r="X80" s="43" t="str">
        <x:v>Moderate</x:v>
      </x:c>
      <x:c r="Y80" s="43" t="str">
        <x:v>Scientifically defensible with substantial supporting literature, while construct boundaries, causal identification, measurement, or transferability remain context dependent. Representative records: SRC237; SRC265; SRC238.</x:v>
      </x:c>
      <x:c r="Z80" s="43" t="str">
        <x:v>Treating collective efficacy as the sum of individual self-efficacy or treating role clarity and accountability as guaranteed coordination.</x:v>
      </x:c>
      <x:c r="AA80" s="43" t="str">
        <x:v>SRC237; SRC265; SRC238</x:v>
      </x:c>
    </x:row>
    <x:row r="81" ht="76" customHeight="1">
      <x:c r="A81" s="43" t="str">
        <x:v>SOC-077</x:v>
      </x:c>
      <x:c r="B81" s="43" t="str">
        <x:v>Collective Efficacy</x:v>
      </x:c>
      <x:c r="C81" s="43" t="str">
        <x:v>Group efficacy; shared capability belief; collective agency belief</x:v>
      </x:c>
      <x:c r="D81" s="43" t="str">
        <x:v>Social</x:v>
      </x:c>
      <x:c r="E81" s="43" t="str">
        <x:v>Coordination, Accountability &amp; Collective Capacity</x:v>
      </x:c>
      <x:c r="F81" s="43" t="str">
        <x:v>The degree to which members of a specified group share a belief that the group can organize and execute actions required to achieve a specified outcome.</x:v>
      </x:c>
      <x:c r="G81" s="43" t="str">
        <x:v>Unipolar continuous</x:v>
      </x:c>
      <x:c r="H81" s="43" t="str">
        <x:v>Referent-shift low–high collective-efficacy scale; within-group agreement reported</x:v>
      </x:c>
      <x:c r="I81" s="43" t="str">
        <x:v>Higher values = stronger shared belief in group capability.</x:v>
      </x:c>
      <x:c r="J81" s="43" t="str">
        <x:v>Supports collective effort and persistence by increasing expectations that coordinated action can succeed.</x:v>
      </x:c>
      <x:c r="K81" s="43" t="str">
        <x:v>Task design; communication; role assignment; shared experience; leadership; feedback; accountability arrangements</x:v>
      </x:c>
      <x:c r="L81" s="43" t="str">
        <x:v>Coordination attempts; collective action; contribution; error correction; collective persistence; bystander intervention</x:v>
      </x:c>
      <x:c r="M81" s="43" t="str">
        <x:v>Group size, common goals, task uncertainty, interdependence, communication reliability, anonymity, and formal constraints.</x:v>
      </x:c>
      <x:c r="N81" s="43" t="str">
        <x:v>Task Interdependence; Common Knowledge Degree; Collective Efficacy; Contribution Identifiability</x:v>
      </x:c>
      <x:c r="O81" s="43" t="str">
        <x:v>Moderate</x:v>
      </x:c>
      <x:c r="P81" s="43" t="str">
        <x:v>Moderate</x:v>
      </x:c>
      <x:c r="Q81" s="43" t="str">
        <x:v>Hours–Days; Days–Weeks</x:v>
      </x:c>
      <x:c r="R81" s="43" t="str">
        <x:v>Seconds–Minutes</x:v>
      </x:c>
      <x:c r="S81" s="43" t="str">
        <x:v>Can improve within an episode and persist with stable roles, knowledge, and repeated practice.</x:v>
      </x:c>
      <x:c r="T81" s="43" t="str">
        <x:v>Group-referent efficacy items; within-group agreement; collective persistence</x:v>
      </x:c>
      <x:c r="U81" s="43" t="str">
        <x:v>Team-task design coding; shared-knowledge test; behavioral coordination task; referent-shift survey; contribution and accountability record</x:v>
      </x:c>
      <x:c r="V81" s="43" t="str">
        <x:v>Moderate</x:v>
      </x:c>
      <x:c r="W81" s="43" t="str">
        <x:v>Shared belief, shared information, common knowledge, mutual expectations, and objective capability are related but not equivalent.</x:v>
      </x:c>
      <x:c r="X81" s="43" t="str">
        <x:v>Strong</x:v>
      </x:c>
      <x:c r="Y81" s="43" t="str">
        <x:v>Supported by converging review, meta-analytic, experimental, network, or longitudinal evidence. Specific effects and causal interpretation remain conditional on level, context, boundary, and measurement. Representative records: SRC238; SRC218.</x:v>
      </x:c>
      <x:c r="Z81" s="43" t="str">
        <x:v>Treating collective efficacy as the sum of individual self-efficacy or treating role clarity and accountability as guaranteed coordination.</x:v>
      </x:c>
      <x:c r="AA81" s="43" t="str">
        <x:v>SRC238; SRC218</x:v>
      </x:c>
    </x:row>
    <x:row r="82" ht="76" customHeight="1">
      <x:c r="A82" s="43" t="str">
        <x:v>SOC-078</x:v>
      </x:c>
      <x:c r="B82" s="43" t="str">
        <x:v>Role Clarity</x:v>
      </x:c>
      <x:c r="C82" s="43" t="str">
        <x:v>Responsibility clarity; role-definition clarity; expectation specificity</x:v>
      </x:c>
      <x:c r="D82" s="43" t="str">
        <x:v>Social</x:v>
      </x:c>
      <x:c r="E82" s="43" t="str">
        <x:v>Coordination, Accountability &amp; Collective Capacity</x:v>
      </x:c>
      <x:c r="F82" s="43" t="str">
        <x:v>The degree to which members' expected functions, decision rights, and task responsibilities are explicit and mutually understood within a group.</x:v>
      </x:c>
      <x:c r="G82" s="43" t="str">
        <x:v>Magnitude / level</x:v>
      </x:c>
      <x:c r="H82" s="43" t="str">
        <x:v>Low–high clarity; role-overlap or ambiguity inverse; responsibility-map completeness</x:v>
      </x:c>
      <x:c r="I82" s="43" t="str">
        <x:v>Higher values = clearer and more mutually understood roles.</x:v>
      </x:c>
      <x:c r="J82" s="43" t="str">
        <x:v>Reduces coordination ambiguity and duplicated or omitted action by linking responsibilities to identifiable members.</x:v>
      </x:c>
      <x:c r="K82" s="43" t="str">
        <x:v>Task design; communication; role assignment; shared experience; leadership; feedback; accountability arrangements</x:v>
      </x:c>
      <x:c r="L82" s="43" t="str">
        <x:v>Coordination attempts; collective action; contribution; error correction; collective persistence; bystander intervention</x:v>
      </x:c>
      <x:c r="M82" s="43" t="str">
        <x:v>Group size, common goals, task uncertainty, interdependence, communication reliability, anonymity, and formal constraints.</x:v>
      </x:c>
      <x:c r="N82" s="43" t="str">
        <x:v>Task Interdependence; Common Knowledge Degree; Collective Efficacy; Contribution Identifiability</x:v>
      </x:c>
      <x:c r="O82" s="43" t="str">
        <x:v>Moderate</x:v>
      </x:c>
      <x:c r="P82" s="43" t="str">
        <x:v>Moderate</x:v>
      </x:c>
      <x:c r="Q82" s="43" t="str">
        <x:v>Hours–Days; Days–Weeks</x:v>
      </x:c>
      <x:c r="R82" s="43" t="str">
        <x:v>Seconds–Minutes</x:v>
      </x:c>
      <x:c r="S82" s="43" t="str">
        <x:v>Can improve within an episode and persist with stable roles, knowledge, and repeated practice.</x:v>
      </x:c>
      <x:c r="T82" s="43" t="str">
        <x:v>Role descriptions; assignment agreement; ambiguity ratings; responsibility map</x:v>
      </x:c>
      <x:c r="U82" s="43" t="str">
        <x:v>Team-task design coding; shared-knowledge test; behavioral coordination task; referent-shift survey; contribution and accountability record</x:v>
      </x:c>
      <x:c r="V82" s="43" t="str">
        <x:v>Moderate</x:v>
      </x:c>
      <x:c r="W82" s="43" t="str">
        <x:v>Shared belief, shared information, common knowledge, mutual expectations, and objective capability are related but not equivalent.</x:v>
      </x:c>
      <x:c r="X82" s="43" t="str">
        <x:v>Moderate</x:v>
      </x:c>
      <x:c r="Y82" s="43" t="str">
        <x:v>Scientifically defensible with substantial supporting literature, while construct boundaries, causal identification, measurement, or transferability remain context dependent. Representative records: SRC262; SRC267.</x:v>
      </x:c>
      <x:c r="Z82" s="43" t="str">
        <x:v>Treating collective efficacy as the sum of individual self-efficacy or treating role clarity and accountability as guaranteed coordination.</x:v>
      </x:c>
      <x:c r="AA82" s="43" t="str">
        <x:v>SRC262; SRC267</x:v>
      </x:c>
    </x:row>
    <x:row r="83" ht="76" customHeight="1">
      <x:c r="A83" s="43" t="str">
        <x:v>SOC-079</x:v>
      </x:c>
      <x:c r="B83" s="43" t="str">
        <x:v>Contribution Identifiability</x:v>
      </x:c>
      <x:c r="C83" s="43" t="str">
        <x:v>Individual effort identifiability; contribution traceability; output attribution</x:v>
      </x:c>
      <x:c r="D83" s="43" t="str">
        <x:v>Social</x:v>
      </x:c>
      <x:c r="E83" s="43" t="str">
        <x:v>Coordination, Accountability &amp; Collective Capacity</x:v>
      </x:c>
      <x:c r="F83" s="43" t="str">
        <x:v>The degree to which a group member's individual contribution to a collective product can be distinguished and attributed.</x:v>
      </x:c>
      <x:c r="G83" s="43" t="str">
        <x:v>Magnitude / level</x:v>
      </x:c>
      <x:c r="H83" s="43" t="str">
        <x:v>Anonymous–partly attributable–fully attributable; traceability score</x:v>
      </x:c>
      <x:c r="I83" s="43" t="str">
        <x:v>Higher values = more identifiable individual contributions.</x:v>
      </x:c>
      <x:c r="J83" s="43" t="str">
        <x:v>Changes accountability and free-riding incentives by making effort and outcomes attributable to specific members.</x:v>
      </x:c>
      <x:c r="K83" s="43" t="str">
        <x:v>Task design; communication; role assignment; shared experience; leadership; feedback; accountability arrangements</x:v>
      </x:c>
      <x:c r="L83" s="43" t="str">
        <x:v>Coordination attempts; collective action; contribution; error correction; collective persistence; bystander intervention</x:v>
      </x:c>
      <x:c r="M83" s="43" t="str">
        <x:v>Group size, common goals, task uncertainty, interdependence, communication reliability, anonymity, and formal constraints.</x:v>
      </x:c>
      <x:c r="N83" s="43" t="str">
        <x:v>Task Interdependence; Common Knowledge Degree; Collective Efficacy; Contribution Identifiability</x:v>
      </x:c>
      <x:c r="O83" s="43" t="str">
        <x:v>Moderate</x:v>
      </x:c>
      <x:c r="P83" s="43" t="str">
        <x:v>Moderate</x:v>
      </x:c>
      <x:c r="Q83" s="43" t="str">
        <x:v>Hours–Days; Days–Weeks</x:v>
      </x:c>
      <x:c r="R83" s="43" t="str">
        <x:v>Seconds–Minutes</x:v>
      </x:c>
      <x:c r="S83" s="43" t="str">
        <x:v>Can improve within an episode and persist with stable roles, knowledge, and repeated practice.</x:v>
      </x:c>
      <x:c r="T83" s="43" t="str">
        <x:v>Named contribution log; individual output; attribution accuracy</x:v>
      </x:c>
      <x:c r="U83" s="43" t="str">
        <x:v>Team-task design coding; shared-knowledge test; behavioral coordination task; referent-shift survey; contribution and accountability record</x:v>
      </x:c>
      <x:c r="V83" s="43" t="str">
        <x:v>Moderate</x:v>
      </x:c>
      <x:c r="W83" s="43" t="str">
        <x:v>Shared belief, shared information, common knowledge, mutual expectations, and objective capability are related but not equivalent.</x:v>
      </x:c>
      <x:c r="X83" s="43" t="str">
        <x:v>Strong</x:v>
      </x:c>
      <x:c r="Y83" s="43" t="str">
        <x:v>Supported by converging review, meta-analytic, experimental, network, or longitudinal evidence. Specific effects and causal interpretation remain conditional on level, context, boundary, and measurement. Representative records: SRC240; SRC229.</x:v>
      </x:c>
      <x:c r="Z83" s="43" t="str">
        <x:v>Treating collective efficacy as the sum of individual self-efficacy or treating role clarity and accountability as guaranteed coordination.</x:v>
      </x:c>
      <x:c r="AA83" s="43" t="str">
        <x:v>SRC240; SRC229</x:v>
      </x:c>
    </x:row>
    <x:row r="84" ht="76" customHeight="1">
      <x:c r="A84" s="43" t="str">
        <x:v>SOC-080</x:v>
      </x:c>
      <x:c r="B84" s="43" t="str">
        <x:v>Responsibility Concentration</x:v>
      </x:c>
      <x:c r="C84" s="43" t="str">
        <x:v>Responsibility allocation; bystander responsibility concentration; duty assignment</x:v>
      </x:c>
      <x:c r="D84" s="43" t="str">
        <x:v>Social</x:v>
      </x:c>
      <x:c r="E84" s="43" t="str">
        <x:v>Coordination, Accountability &amp; Collective Capacity</x:v>
      </x:c>
      <x:c r="F84" s="43" t="str">
        <x:v>The degree to which responsibility for acting in a specified situation is concentrated on identifiable actors rather than diffusely shared.</x:v>
      </x:c>
      <x:c r="G84" s="43" t="str">
        <x:v>Magnitude / level</x:v>
      </x:c>
      <x:c r="H84" s="43" t="str">
        <x:v>Diffuse–shared–assigned responsibility; concentration index</x:v>
      </x:c>
      <x:c r="I84" s="43" t="str">
        <x:v>Higher values = responsibility is more clearly concentrated on one or a few actors.</x:v>
      </x:c>
      <x:c r="J84" s="43" t="str">
        <x:v>Reduces ambiguity and diffusion about who should initiate action, increasing the likelihood of accountable response.</x:v>
      </x:c>
      <x:c r="K84" s="43" t="str">
        <x:v>Task design; communication; role assignment; shared experience; leadership; feedback; accountability arrangements</x:v>
      </x:c>
      <x:c r="L84" s="43" t="str">
        <x:v>Coordination attempts; collective action; contribution; error correction; collective persistence; bystander intervention</x:v>
      </x:c>
      <x:c r="M84" s="43" t="str">
        <x:v>Group size, common goals, task uncertainty, interdependence, communication reliability, anonymity, and formal constraints.</x:v>
      </x:c>
      <x:c r="N84" s="43" t="str">
        <x:v>Task Interdependence; Common Knowledge Degree; Collective Efficacy; Contribution Identifiability</x:v>
      </x:c>
      <x:c r="O84" s="43" t="str">
        <x:v>Moderate</x:v>
      </x:c>
      <x:c r="P84" s="43" t="str">
        <x:v>Moderate</x:v>
      </x:c>
      <x:c r="Q84" s="43" t="str">
        <x:v>Hours–Days; Days–Weeks</x:v>
      </x:c>
      <x:c r="R84" s="43" t="str">
        <x:v>Seconds–Minutes</x:v>
      </x:c>
      <x:c r="S84" s="43" t="str">
        <x:v>Can improve within an episode and persist with stable roles, knowledge, and repeated practice.</x:v>
      </x:c>
      <x:c r="T84" s="43" t="str">
        <x:v>Named duty holder; responsibility nominations; assignment concentration</x:v>
      </x:c>
      <x:c r="U84" s="43" t="str">
        <x:v>Team-task design coding; shared-knowledge test; behavioral coordination task; referent-shift survey; contribution and accountability record</x:v>
      </x:c>
      <x:c r="V84" s="43" t="str">
        <x:v>Moderate</x:v>
      </x:c>
      <x:c r="W84" s="43" t="str">
        <x:v>Shared belief, shared information, common knowledge, mutual expectations, and objective capability are related but not equivalent.</x:v>
      </x:c>
      <x:c r="X84" s="43" t="str">
        <x:v>Strong</x:v>
      </x:c>
      <x:c r="Y84" s="43" t="str">
        <x:v>Supported by converging review, meta-analytic, experimental, network, or longitudinal evidence. Specific effects and causal interpretation remain conditional on level, context, boundary, and measurement. Representative records: SRC239; SRC229.</x:v>
      </x:c>
      <x:c r="Z84" s="43" t="str">
        <x:v>Treating collective efficacy as the sum of individual self-efficacy or treating role clarity and accountability as guaranteed coordination.</x:v>
      </x:c>
      <x:c r="AA84" s="43" t="str">
        <x:v>SRC239; SRC229</x:v>
      </x:c>
    </x:row>
    <x:row r="85" ht="76" customHeight="1">
      <x:c r="A85" s="43" t="str">
        <x:v>SOC-081</x:v>
      </x:c>
      <x:c r="B85" s="43" t="str">
        <x:v>Peer Accountability Intensity</x:v>
      </x:c>
      <x:c r="C85" s="43" t="str">
        <x:v>Answerability to peers; social accountability; peer review requirement</x:v>
      </x:c>
      <x:c r="D85" s="43" t="str">
        <x:v>Social</x:v>
      </x:c>
      <x:c r="E85" s="43" t="str">
        <x:v>Coordination, Accountability &amp; Collective Capacity</x:v>
      </x:c>
      <x:c r="F85" s="43" t="str">
        <x:v>The strength of a requirement that an actor explain, justify, or answer for a decision or action to specified peers.</x:v>
      </x:c>
      <x:c r="G85" s="43" t="str">
        <x:v>Magnitude / level</x:v>
      </x:c>
      <x:c r="H85" s="43" t="str">
        <x:v>No answerability–informal explanation–formal peer justification; low–high intensity</x:v>
      </x:c>
      <x:c r="I85" s="43" t="str">
        <x:v>Higher values = stronger answerability to relevant peers.</x:v>
      </x:c>
      <x:c r="J85" s="43" t="str">
        <x:v>Anticipated justification increases attention to audience standards and can alter effort and reasoning depending on timing and ground rules.</x:v>
      </x:c>
      <x:c r="K85" s="43" t="str">
        <x:v>Task design; communication; role assignment; shared experience; leadership; feedback; accountability arrangements</x:v>
      </x:c>
      <x:c r="L85" s="43" t="str">
        <x:v>Coordination attempts; collective action; contribution; error correction; collective persistence; bystander intervention</x:v>
      </x:c>
      <x:c r="M85" s="43" t="str">
        <x:v>Group size, common goals, task uncertainty, interdependence, communication reliability, anonymity, and formal constraints.</x:v>
      </x:c>
      <x:c r="N85" s="43" t="str">
        <x:v>Task Interdependence; Common Knowledge Degree; Collective Efficacy; Contribution Identifiability</x:v>
      </x:c>
      <x:c r="O85" s="43" t="str">
        <x:v>Moderate</x:v>
      </x:c>
      <x:c r="P85" s="43" t="str">
        <x:v>Moderate</x:v>
      </x:c>
      <x:c r="Q85" s="43" t="str">
        <x:v>Hours–Days; Days–Weeks</x:v>
      </x:c>
      <x:c r="R85" s="43" t="str">
        <x:v>Seconds–Minutes</x:v>
      </x:c>
      <x:c r="S85" s="43" t="str">
        <x:v>Can improve within an episode and persist with stable roles, knowledge, and repeated practice.</x:v>
      </x:c>
      <x:c r="T85" s="43" t="str">
        <x:v>Required explanation; peer review frequency; consequences of inadequate justification</x:v>
      </x:c>
      <x:c r="U85" s="43" t="str">
        <x:v>Team-task design coding; shared-knowledge test; behavioral coordination task; referent-shift survey; contribution and accountability record</x:v>
      </x:c>
      <x:c r="V85" s="43" t="str">
        <x:v>Moderate</x:v>
      </x:c>
      <x:c r="W85" s="43" t="str">
        <x:v>Shared belief, shared information, common knowledge, mutual expectations, and objective capability are related but not equivalent.</x:v>
      </x:c>
      <x:c r="X85" s="43" t="str">
        <x:v>Strong</x:v>
      </x:c>
      <x:c r="Y85" s="43" t="str">
        <x:v>Supported by converging review, meta-analytic, experimental, network, or longitudinal evidence. Specific effects and causal interpretation remain conditional on level, context, boundary, and measurement. Representative records: SRC229; SRC267.</x:v>
      </x:c>
      <x:c r="Z85" s="43" t="str">
        <x:v>Treating collective efficacy as the sum of individual self-efficacy or treating role clarity and accountability as guaranteed coordination.</x:v>
      </x:c>
      <x:c r="AA85" s="43" t="str">
        <x:v>SRC229; SRC267</x:v>
      </x:c>
    </x:row>
    <x:row r="86" ht="76" customHeight="1">
      <x:c r="A86" s="43" t="str">
        <x:v>SOC-082</x:v>
      </x:c>
      <x:c r="B86" s="43" t="str">
        <x:v>Audience Presence</x:v>
      </x:c>
      <x:c r="C86" s="43" t="str">
        <x:v>Others observing; social presence; audience co-presence</x:v>
      </x:c>
      <x:c r="D86" s="43" t="str">
        <x:v>Social</x:v>
      </x:c>
      <x:c r="E86" s="43" t="str">
        <x:v>Audience &amp; Social Evaluation</x:v>
      </x:c>
      <x:c r="F86" s="43" t="str">
        <x:v>Whether one or more other people are present and able to witness a specified action or performance episode.</x:v>
      </x:c>
      <x:c r="G86" s="43" t="str">
        <x:v>Binary</x:v>
      </x:c>
      <x:c r="H86" s="43" t="str">
        <x:v>Absent / present, with audience definition specified</x:v>
      </x:c>
      <x:c r="I86" s="43" t="str">
        <x:v>Present = at least one relevant observer can witness the episode.</x:v>
      </x:c>
      <x:c r="J86" s="43" t="str">
        <x:v>Creates social-evaluation and coordination conditions that can alter arousal, effort, helping, inhibition, and self-presentation.</x:v>
      </x:c>
      <x:c r="K86" s="43" t="str">
        <x:v>Physical or virtual co-presence; communication settings; identity disclosure; visibility controls; peer oversight</x:v>
      </x:c>
      <x:c r="L86" s="43" t="str">
        <x:v>Evaluation apprehension; reputational concern; norm compliance; effort; helping; inhibition; strategic self-presentation</x:v>
      </x:c>
      <x:c r="M86" s="43" t="str">
        <x:v>Task complexity, audience relationship, evaluation criteria, anonymity, expertise, power, culture, and whether performance is identifiable.</x:v>
      </x:c>
      <x:c r="N86" s="43" t="str">
        <x:v>Audience Size; Actor Identifiability; Action Publicness; Peer Monitoring Intensity</x:v>
      </x:c>
      <x:c r="O86" s="43" t="str">
        <x:v>Very High</x:v>
      </x:c>
      <x:c r="P86" s="43" t="str">
        <x:v>High</x:v>
      </x:c>
      <x:c r="Q86" s="43" t="str">
        <x:v>Seconds–Minutes</x:v>
      </x:c>
      <x:c r="R86" s="43" t="str">
        <x:v>Seconds–Minutes</x:v>
      </x:c>
      <x:c r="S86" s="43" t="str">
        <x:v>Typically ends with the audience or monitoring condition, though reputational consequences may persist.</x:v>
      </x:c>
      <x:c r="T86" s="43" t="str">
        <x:v>Observer presence; live viewers; co-present audience indicator</x:v>
      </x:c>
      <x:c r="U86" s="43" t="str">
        <x:v>Setting observation; platform visibility audit; audience roster; identifiability coding; experimental public/private manipulation</x:v>
      </x:c>
      <x:c r="V86" s="43" t="str">
        <x:v>High</x:v>
      </x:c>
      <x:c r="W86" s="43" t="str">
        <x:v>Audience and monitoring effects can reverse with task, expertise, relationship, or accountability ground rules.</x:v>
      </x:c>
      <x:c r="X86" s="43" t="str">
        <x:v>Strong</x:v>
      </x:c>
      <x:c r="Y86" s="43" t="str">
        <x:v>Supported by converging review, meta-analytic, experimental, network, or longitudinal evidence. Specific effects and causal interpretation remain conditional on level, context, boundary, and measurement. Representative records: SRC241; SRC229; SRC239.</x:v>
      </x:c>
      <x:c r="Z86" s="43" t="str">
        <x:v>Treating observability as a single construct or assuming the presence of others uniformly improves, suppresses, or moralizes behavior.</x:v>
      </x:c>
      <x:c r="AA86" s="43" t="str">
        <x:v>SRC241; SRC229; SRC239</x:v>
      </x:c>
    </x:row>
    <x:row r="87" ht="76" customHeight="1">
      <x:c r="A87" s="43" t="str">
        <x:v>SOC-083</x:v>
      </x:c>
      <x:c r="B87" s="43" t="str">
        <x:v>Audience Size</x:v>
      </x:c>
      <x:c r="C87" s="43" t="str">
        <x:v>Number of observers; crowd size; witness count</x:v>
      </x:c>
      <x:c r="D87" s="43" t="str">
        <x:v>Social</x:v>
      </x:c>
      <x:c r="E87" s="43" t="str">
        <x:v>Audience &amp; Social Evaluation</x:v>
      </x:c>
      <x:c r="F87" s="43" t="str">
        <x:v>The number of people able to witness a specified action, decision, or performance episode.</x:v>
      </x:c>
      <x:c r="G87" s="43" t="str">
        <x:v>Count</x:v>
      </x:c>
      <x:c r="H87" s="43" t="str">
        <x:v>Observer count; concurrent viewers; visible witness number</x:v>
      </x:c>
      <x:c r="I87" s="43" t="str">
        <x:v>Higher values = more people can witness the episode.</x:v>
      </x:c>
      <x:c r="J87" s="43" t="str">
        <x:v>Changes evaluation exposure, responsibility dispersion, potential reputation reach, and arousal.</x:v>
      </x:c>
      <x:c r="K87" s="43" t="str">
        <x:v>Physical or virtual co-presence; communication settings; identity disclosure; visibility controls; peer oversight</x:v>
      </x:c>
      <x:c r="L87" s="43" t="str">
        <x:v>Evaluation apprehension; reputational concern; norm compliance; effort; helping; inhibition; strategic self-presentation</x:v>
      </x:c>
      <x:c r="M87" s="43" t="str">
        <x:v>Task complexity, audience relationship, evaluation criteria, anonymity, expertise, power, culture, and whether performance is identifiable.</x:v>
      </x:c>
      <x:c r="N87" s="43" t="str">
        <x:v>Audience Size; Actor Identifiability; Action Publicness; Peer Monitoring Intensity</x:v>
      </x:c>
      <x:c r="O87" s="43" t="str">
        <x:v>Very High</x:v>
      </x:c>
      <x:c r="P87" s="43" t="str">
        <x:v>High</x:v>
      </x:c>
      <x:c r="Q87" s="43" t="str">
        <x:v>Seconds–Minutes</x:v>
      </x:c>
      <x:c r="R87" s="43" t="str">
        <x:v>Seconds–Minutes</x:v>
      </x:c>
      <x:c r="S87" s="43" t="str">
        <x:v>Typically ends with the audience or monitoring condition, though reputational consequences may persist.</x:v>
      </x:c>
      <x:c r="T87" s="43" t="str">
        <x:v>Attendance; viewer count; witness roster; bystander count</x:v>
      </x:c>
      <x:c r="U87" s="43" t="str">
        <x:v>Setting observation; platform visibility audit; audience roster; identifiability coding; experimental public/private manipulation</x:v>
      </x:c>
      <x:c r="V87" s="43" t="str">
        <x:v>High</x:v>
      </x:c>
      <x:c r="W87" s="43" t="str">
        <x:v>Audience and monitoring effects can reverse with task, expertise, relationship, or accountability ground rules.</x:v>
      </x:c>
      <x:c r="X87" s="43" t="str">
        <x:v>Strong</x:v>
      </x:c>
      <x:c r="Y87" s="43" t="str">
        <x:v>Supported by converging review, meta-analytic, experimental, network, or longitudinal evidence. Specific effects and causal interpretation remain conditional on level, context, boundary, and measurement. Representative records: SRC239; SRC241; SRC229.</x:v>
      </x:c>
      <x:c r="Z87" s="43" t="str">
        <x:v>Treating observability as a single construct or assuming the presence of others uniformly improves, suppresses, or moralizes behavior.</x:v>
      </x:c>
      <x:c r="AA87" s="43" t="str">
        <x:v>SRC239; SRC241; SRC229</x:v>
      </x:c>
    </x:row>
    <x:row r="88" ht="76" customHeight="1">
      <x:c r="A88" s="43" t="str">
        <x:v>SOC-084</x:v>
      </x:c>
      <x:c r="B88" s="43" t="str">
        <x:v>Actor Identifiability</x:v>
      </x:c>
      <x:c r="C88" s="43" t="str">
        <x:v>Nonanonymity; identity visibility; traceability to actor</x:v>
      </x:c>
      <x:c r="D88" s="43" t="str">
        <x:v>Social</x:v>
      </x:c>
      <x:c r="E88" s="43" t="str">
        <x:v>Audience &amp; Social Evaluation</x:v>
      </x:c>
      <x:c r="F88" s="43" t="str">
        <x:v>The degree to which observers can connect a specified action or communication to the actor who produced it.</x:v>
      </x:c>
      <x:c r="G88" s="43" t="str">
        <x:v>Magnitude / level</x:v>
      </x:c>
      <x:c r="H88" s="43" t="str">
        <x:v>Anonymous–pseudonymous–verified identity; reidentification probability</x:v>
      </x:c>
      <x:c r="I88" s="43" t="str">
        <x:v>Higher values = greater ability to identify the actor responsible.</x:v>
      </x:c>
      <x:c r="J88" s="43" t="str">
        <x:v>Makes reputation, sanction, reward, and accountability consequences more attributable to the actor.</x:v>
      </x:c>
      <x:c r="K88" s="43" t="str">
        <x:v>Physical or virtual co-presence; communication settings; identity disclosure; visibility controls; peer oversight</x:v>
      </x:c>
      <x:c r="L88" s="43" t="str">
        <x:v>Evaluation apprehension; reputational concern; norm compliance; effort; helping; inhibition; strategic self-presentation</x:v>
      </x:c>
      <x:c r="M88" s="43" t="str">
        <x:v>Task complexity, audience relationship, evaluation criteria, anonymity, expertise, power, culture, and whether performance is identifiable.</x:v>
      </x:c>
      <x:c r="N88" s="43" t="str">
        <x:v>Audience Size; Actor Identifiability; Action Publicness; Peer Monitoring Intensity</x:v>
      </x:c>
      <x:c r="O88" s="43" t="str">
        <x:v>Very High</x:v>
      </x:c>
      <x:c r="P88" s="43" t="str">
        <x:v>High</x:v>
      </x:c>
      <x:c r="Q88" s="43" t="str">
        <x:v>Seconds–Minutes</x:v>
      </x:c>
      <x:c r="R88" s="43" t="str">
        <x:v>Seconds–Minutes</x:v>
      </x:c>
      <x:c r="S88" s="43" t="str">
        <x:v>Typically ends with the audience or monitoring condition, though reputational consequences may persist.</x:v>
      </x:c>
      <x:c r="T88" s="43" t="str">
        <x:v>Name or face visibility; stable identifier; reidentification rate</x:v>
      </x:c>
      <x:c r="U88" s="43" t="str">
        <x:v>Setting observation; platform visibility audit; audience roster; identifiability coding; experimental public/private manipulation</x:v>
      </x:c>
      <x:c r="V88" s="43" t="str">
        <x:v>High</x:v>
      </x:c>
      <x:c r="W88" s="43" t="str">
        <x:v>Audience and monitoring effects can reverse with task, expertise, relationship, or accountability ground rules.</x:v>
      </x:c>
      <x:c r="X88" s="43" t="str">
        <x:v>Strong</x:v>
      </x:c>
      <x:c r="Y88" s="43" t="str">
        <x:v>Supported by converging review, meta-analytic, experimental, network, or longitudinal evidence. Specific effects and causal interpretation remain conditional on level, context, boundary, and measurement. Representative records: SRC229; SRC249; SRC257.</x:v>
      </x:c>
      <x:c r="Z88" s="43" t="str">
        <x:v>Treating observability as a single construct or assuming the presence of others uniformly improves, suppresses, or moralizes behavior.</x:v>
      </x:c>
      <x:c r="AA88" s="43" t="str">
        <x:v>SRC229; SRC249; SRC257</x:v>
      </x:c>
    </x:row>
    <x:row r="89" ht="76" customHeight="1">
      <x:c r="A89" s="43" t="str">
        <x:v>SOC-085</x:v>
      </x:c>
      <x:c r="B89" s="43" t="str">
        <x:v>Action Publicness</x:v>
      </x:c>
      <x:c r="C89" s="43" t="str">
        <x:v>Behavior visibility; public versus private action; observable conduct</x:v>
      </x:c>
      <x:c r="D89" s="43" t="str">
        <x:v>Social</x:v>
      </x:c>
      <x:c r="E89" s="43" t="str">
        <x:v>Audience &amp; Social Evaluation</x:v>
      </x:c>
      <x:c r="F89" s="43" t="str">
        <x:v>The proportion or degree of a specified action and its outcome that is visible to a relevant social audience.</x:v>
      </x:c>
      <x:c r="G89" s="43" t="str">
        <x:v>Proportion</x:v>
      </x:c>
      <x:c r="H89" s="43" t="str">
        <x:v>Private–partly visible–fully public; share of action visible</x:v>
      </x:c>
      <x:c r="I89" s="43" t="str">
        <x:v>Higher values = more of the action is observable to the relevant audience.</x:v>
      </x:c>
      <x:c r="J89" s="43" t="str">
        <x:v>Expands social feedback and reputational consequences and can increase alignment with visible group expectations.</x:v>
      </x:c>
      <x:c r="K89" s="43" t="str">
        <x:v>Physical or virtual co-presence; communication settings; identity disclosure; visibility controls; peer oversight</x:v>
      </x:c>
      <x:c r="L89" s="43" t="str">
        <x:v>Evaluation apprehension; reputational concern; norm compliance; effort; helping; inhibition; strategic self-presentation</x:v>
      </x:c>
      <x:c r="M89" s="43" t="str">
        <x:v>Task complexity, audience relationship, evaluation criteria, anonymity, expertise, power, culture, and whether performance is identifiable.</x:v>
      </x:c>
      <x:c r="N89" s="43" t="str">
        <x:v>Audience Size; Actor Identifiability; Action Publicness; Peer Monitoring Intensity</x:v>
      </x:c>
      <x:c r="O89" s="43" t="str">
        <x:v>Very High</x:v>
      </x:c>
      <x:c r="P89" s="43" t="str">
        <x:v>High</x:v>
      </x:c>
      <x:c r="Q89" s="43" t="str">
        <x:v>Seconds–Minutes</x:v>
      </x:c>
      <x:c r="R89" s="43" t="str">
        <x:v>Seconds–Minutes</x:v>
      </x:c>
      <x:c r="S89" s="43" t="str">
        <x:v>Typically ends with the audience or monitoring condition, though reputational consequences may persist.</x:v>
      </x:c>
      <x:c r="T89" s="43" t="str">
        <x:v>Visibility setting; public record; audience access; disclosed outcome</x:v>
      </x:c>
      <x:c r="U89" s="43" t="str">
        <x:v>Setting observation; platform visibility audit; audience roster; identifiability coding; experimental public/private manipulation</x:v>
      </x:c>
      <x:c r="V89" s="43" t="str">
        <x:v>High</x:v>
      </x:c>
      <x:c r="W89" s="43" t="str">
        <x:v>Audience and monitoring effects can reverse with task, expertise, relationship, or accountability ground rules.</x:v>
      </x:c>
      <x:c r="X89" s="43" t="str">
        <x:v>Strong</x:v>
      </x:c>
      <x:c r="Y89" s="43" t="str">
        <x:v>Supported by converging review, meta-analytic, experimental, network, or longitudinal evidence. Specific effects and causal interpretation remain conditional on level, context, boundary, and measurement. Representative records: SRC229; SRC209; SRC249.</x:v>
      </x:c>
      <x:c r="Z89" s="43" t="str">
        <x:v>Treating observability as a single construct or assuming the presence of others uniformly improves, suppresses, or moralizes behavior.</x:v>
      </x:c>
      <x:c r="AA89" s="43" t="str">
        <x:v>SRC229; SRC209; SRC249</x:v>
      </x:c>
    </x:row>
    <x:row r="90" ht="76" customHeight="1">
      <x:c r="A90" s="43" t="str">
        <x:v>SOC-086</x:v>
      </x:c>
      <x:c r="B90" s="43" t="str">
        <x:v>Evaluation Exposure</x:v>
      </x:c>
      <x:c r="C90" s="43" t="str">
        <x:v>Likelihood of social evaluation; evaluative scrutiny; audience judgment opportunity</x:v>
      </x:c>
      <x:c r="D90" s="43" t="str">
        <x:v>Social</x:v>
      </x:c>
      <x:c r="E90" s="43" t="str">
        <x:v>Audience &amp; Social Evaluation</x:v>
      </x:c>
      <x:c r="F90" s="43" t="str">
        <x:v>The probability that a relevant audience will actively judge a specified actor or action rather than merely observe it.</x:v>
      </x:c>
      <x:c r="G90" s="43" t="str">
        <x:v>Proportion</x:v>
      </x:c>
      <x:c r="H90" s="43" t="str">
        <x:v>0–1 evaluation probability; evaluated versus unevaluated; rating coverage</x:v>
      </x:c>
      <x:c r="I90" s="43" t="str">
        <x:v>Higher values = greater likelihood of active social evaluation.</x:v>
      </x:c>
      <x:c r="J90" s="43" t="str">
        <x:v>Raises anticipated judgment stakes and can redirect attention, effort, defensiveness, or conformity to audience standards.</x:v>
      </x:c>
      <x:c r="K90" s="43" t="str">
        <x:v>Physical or virtual co-presence; communication settings; identity disclosure; visibility controls; peer oversight</x:v>
      </x:c>
      <x:c r="L90" s="43" t="str">
        <x:v>Evaluation apprehension; reputational concern; norm compliance; effort; helping; inhibition; strategic self-presentation</x:v>
      </x:c>
      <x:c r="M90" s="43" t="str">
        <x:v>Task complexity, audience relationship, evaluation criteria, anonymity, expertise, power, culture, and whether performance is identifiable.</x:v>
      </x:c>
      <x:c r="N90" s="43" t="str">
        <x:v>Audience Size; Actor Identifiability; Action Publicness; Peer Monitoring Intensity</x:v>
      </x:c>
      <x:c r="O90" s="43" t="str">
        <x:v>Very High</x:v>
      </x:c>
      <x:c r="P90" s="43" t="str">
        <x:v>High</x:v>
      </x:c>
      <x:c r="Q90" s="43" t="str">
        <x:v>Seconds–Minutes</x:v>
      </x:c>
      <x:c r="R90" s="43" t="str">
        <x:v>Seconds–Minutes</x:v>
      </x:c>
      <x:c r="S90" s="43" t="str">
        <x:v>Typically ends with the audience or monitoring condition, though reputational consequences may persist.</x:v>
      </x:c>
      <x:c r="T90" s="43" t="str">
        <x:v>Ratings requested; feedback probability; judgment events; evaluative audience role</x:v>
      </x:c>
      <x:c r="U90" s="43" t="str">
        <x:v>Setting observation; platform visibility audit; audience roster; identifiability coding; experimental public/private manipulation</x:v>
      </x:c>
      <x:c r="V90" s="43" t="str">
        <x:v>High</x:v>
      </x:c>
      <x:c r="W90" s="43" t="str">
        <x:v>Audience and monitoring effects can reverse with task, expertise, relationship, or accountability ground rules.</x:v>
      </x:c>
      <x:c r="X90" s="43" t="str">
        <x:v>Strong</x:v>
      </x:c>
      <x:c r="Y90" s="43" t="str">
        <x:v>Supported by converging review, meta-analytic, experimental, network, or longitudinal evidence. Specific effects and causal interpretation remain conditional on level, context, boundary, and measurement. Representative records: SRC229; SRC241.</x:v>
      </x:c>
      <x:c r="Z90" s="43" t="str">
        <x:v>Treating observability as a single construct or assuming the presence of others uniformly improves, suppresses, or moralizes behavior.</x:v>
      </x:c>
      <x:c r="AA90" s="43" t="str">
        <x:v>SRC229; SRC241</x:v>
      </x:c>
    </x:row>
    <x:row r="91" ht="76" customHeight="1">
      <x:c r="A91" s="43" t="str">
        <x:v>SOC-087</x:v>
      </x:c>
      <x:c r="B91" s="43" t="str">
        <x:v>Peer Monitoring Intensity</x:v>
      </x:c>
      <x:c r="C91" s="43" t="str">
        <x:v>Social monitoring; peer oversight; interpersonal surveillance</x:v>
      </x:c>
      <x:c r="D91" s="43" t="str">
        <x:v>Social</x:v>
      </x:c>
      <x:c r="E91" s="43" t="str">
        <x:v>Audience &amp; Social Evaluation</x:v>
      </x:c>
      <x:c r="F91" s="43" t="str">
        <x:v>The frequency or depth with which peers observe and review an actor's conduct within a specified setting.</x:v>
      </x:c>
      <x:c r="G91" s="43" t="str">
        <x:v>Frequency</x:v>
      </x:c>
      <x:c r="H91" s="43" t="str">
        <x:v>Monitoring events per period; proportion of actions reviewed; low–high oversight</x:v>
      </x:c>
      <x:c r="I91" s="43" t="str">
        <x:v>Higher values = more frequent or intensive peer monitoring.</x:v>
      </x:c>
      <x:c r="J91" s="43" t="str">
        <x:v>Increases the probability that conduct will be noticed, evaluated, rewarded, or sanctioned by socially relevant others.</x:v>
      </x:c>
      <x:c r="K91" s="43" t="str">
        <x:v>Physical or virtual co-presence; communication settings; identity disclosure; visibility controls; peer oversight</x:v>
      </x:c>
      <x:c r="L91" s="43" t="str">
        <x:v>Evaluation apprehension; reputational concern; norm compliance; effort; helping; inhibition; strategic self-presentation</x:v>
      </x:c>
      <x:c r="M91" s="43" t="str">
        <x:v>Task complexity, audience relationship, evaluation criteria, anonymity, expertise, power, culture, and whether performance is identifiable.</x:v>
      </x:c>
      <x:c r="N91" s="43" t="str">
        <x:v>Audience Size; Actor Identifiability; Action Publicness; Peer Monitoring Intensity</x:v>
      </x:c>
      <x:c r="O91" s="43" t="str">
        <x:v>Very High</x:v>
      </x:c>
      <x:c r="P91" s="43" t="str">
        <x:v>High</x:v>
      </x:c>
      <x:c r="Q91" s="43" t="str">
        <x:v>Seconds–Minutes</x:v>
      </x:c>
      <x:c r="R91" s="43" t="str">
        <x:v>Seconds–Minutes</x:v>
      </x:c>
      <x:c r="S91" s="43" t="str">
        <x:v>Typically ends with the audience or monitoring condition, though reputational consequences may persist.</x:v>
      </x:c>
      <x:c r="T91" s="43" t="str">
        <x:v>Review events; observation coverage; check-in rate; peer audit log</x:v>
      </x:c>
      <x:c r="U91" s="43" t="str">
        <x:v>Setting observation; platform visibility audit; audience roster; identifiability coding; experimental public/private manipulation</x:v>
      </x:c>
      <x:c r="V91" s="43" t="str">
        <x:v>High</x:v>
      </x:c>
      <x:c r="W91" s="43" t="str">
        <x:v>Audience and monitoring effects can reverse with task, expertise, relationship, or accountability ground rules.</x:v>
      </x:c>
      <x:c r="X91" s="43" t="str">
        <x:v>Moderate</x:v>
      </x:c>
      <x:c r="Y91" s="43" t="str">
        <x:v>Scientifically defensible with substantial supporting literature, while construct boundaries, causal identification, measurement, or transferability remain context dependent. Representative records: SRC229; SRC226; SRC251.</x:v>
      </x:c>
      <x:c r="Z91" s="43" t="str">
        <x:v>Treating observability as a single construct or assuming the presence of others uniformly improves, suppresses, or moralizes behavior.</x:v>
      </x:c>
      <x:c r="AA91" s="43" t="str">
        <x:v>SRC229; SRC226; SRC251</x:v>
      </x:c>
    </x:row>
    <x:row r="92" ht="76" customHeight="1">
      <x:c r="A92" s="43" t="str">
        <x:v>SOC-088</x:v>
      </x:c>
      <x:c r="B92" s="43" t="str">
        <x:v>Intergroup Contact Frequency</x:v>
      </x:c>
      <x:c r="C92" s="43" t="str">
        <x:v>Cross-group contact rate; outgroup interaction frequency; intercategory contact</x:v>
      </x:c>
      <x:c r="D92" s="43" t="str">
        <x:v>Social</x:v>
      </x:c>
      <x:c r="E92" s="43" t="str">
        <x:v>Intergroup Contact, Boundaries &amp; Competition</x:v>
      </x:c>
      <x:c r="F92" s="43" t="str">
        <x:v>The number of direct interactions between members of specified social groups per unit time.</x:v>
      </x:c>
      <x:c r="G92" s="43" t="str">
        <x:v>Frequency</x:v>
      </x:c>
      <x:c r="H92" s="43" t="str">
        <x:v>Cross-group interactions per day, week, or month; opportunity-adjusted rate</x:v>
      </x:c>
      <x:c r="I92" s="43" t="str">
        <x:v>Higher values = more frequent direct contact across the specified groups.</x:v>
      </x:c>
      <x:c r="J92" s="43" t="str">
        <x:v>Creates opportunities for learning, anxiety reduction, friendship, conflict, and revision of group-based expectations.</x:v>
      </x:c>
      <x:c r="K92" s="43" t="str">
        <x:v>Residential and organizational mixing; group boundaries; mobility; conflict; shared goals; resource distribution; institutional policy</x:v>
      </x:c>
      <x:c r="L92" s="43" t="str">
        <x:v>Intergroup anxiety; prejudice; trust; cooperation; conflict; identity salience; information flow; coalition formation</x:v>
      </x:c>
      <x:c r="M92" s="43" t="str">
        <x:v>Contact quality, equal status, cooperation, authority support, prior conflict, group status, voluntariness, and opportunity for friendship.</x:v>
      </x:c>
      <x:c r="N92" s="43" t="str">
        <x:v>Intergroup Contact Quality; Cross-Group Friendship Prevalence; Intergroup Competition Intensity; Boundary Permeability</x:v>
      </x:c>
      <x:c r="O92" s="43" t="str">
        <x:v>Low</x:v>
      </x:c>
      <x:c r="P92" s="43" t="str">
        <x:v>Low</x:v>
      </x:c>
      <x:c r="Q92" s="43" t="str">
        <x:v>Weeks–Months; Months–Years</x:v>
      </x:c>
      <x:c r="R92" s="43" t="str">
        <x:v>Hours–Days</x:v>
      </x:c>
      <x:c r="S92" s="43" t="str">
        <x:v>Often persistent and historically path-dependent; repeated high-quality contact can accumulate over time.</x:v>
      </x:c>
      <x:c r="T92" s="43" t="str">
        <x:v>Cross-group encounters; mixed-team interactions; contact diary</x:v>
      </x:c>
      <x:c r="U92" s="43" t="str">
        <x:v>Intergroup contact diary; cross-group network analysis; behavioral observation; group-level resource-flow data; longitudinal panel design</x:v>
      </x:c>
      <x:c r="V92" s="43" t="str">
        <x:v>Moderate</x:v>
      </x:c>
      <x:c r="W92" s="43" t="str">
        <x:v>Contact selection and context complicate causal inference; contact amount, quality, friendship, equality, cooperation, and segregation are distinct.</x:v>
      </x:c>
      <x:c r="X92" s="43" t="str">
        <x:v>Strong</x:v>
      </x:c>
      <x:c r="Y92" s="43" t="str">
        <x:v>Supported by converging review, meta-analytic, experimental, network, or longitudinal evidence. Specific effects and causal interpretation remain conditional on level, context, boundary, and measurement. Representative records: SRC244; SRC247; SRC268.</x:v>
      </x:c>
      <x:c r="Z92" s="43" t="str">
        <x:v>Representing perceived threat, anxiety, prejudice, or cultural difference as an external intergroup condition.</x:v>
      </x:c>
      <x:c r="AA92" s="43" t="str">
        <x:v>SRC244; SRC247; SRC268</x:v>
      </x:c>
    </x:row>
    <x:row r="93" ht="76" customHeight="1">
      <x:c r="A93" s="43" t="str">
        <x:v>SOC-089</x:v>
      </x:c>
      <x:c r="B93" s="43" t="str">
        <x:v>Intergroup Contact Quality</x:v>
      </x:c>
      <x:c r="C93" s="43" t="str">
        <x:v>Positive cross-group contact; constructive contact; contact valence</x:v>
      </x:c>
      <x:c r="D93" s="43" t="str">
        <x:v>Social</x:v>
      </x:c>
      <x:c r="E93" s="43" t="str">
        <x:v>Intergroup Contact, Boundaries &amp; Competition</x:v>
      </x:c>
      <x:c r="F93" s="43" t="str">
        <x:v>The degree to which cross-group interactions are cooperative, respectful, voluntary, and personally engaging rather than hostile or superficial.</x:v>
      </x:c>
      <x:c r="G93" s="43" t="str">
        <x:v>Bipolar continuous</x:v>
      </x:c>
      <x:c r="H93" s="43" t="str">
        <x:v>Negative–neutral–positive quality; multidimensional contact-quality profile</x:v>
      </x:c>
      <x:c r="I93" s="43" t="str">
        <x:v>Negative values = hostile or harmful contact; positive values = constructive contact.</x:v>
      </x:c>
      <x:c r="J93" s="43" t="str">
        <x:v>Determines whether contact provides corrective relational experience, creates ties, or instead reinforces conflict and threat.</x:v>
      </x:c>
      <x:c r="K93" s="43" t="str">
        <x:v>Residential and organizational mixing; group boundaries; mobility; conflict; shared goals; resource distribution; institutional policy</x:v>
      </x:c>
      <x:c r="L93" s="43" t="str">
        <x:v>Intergroup anxiety; prejudice; trust; cooperation; conflict; identity salience; information flow; coalition formation</x:v>
      </x:c>
      <x:c r="M93" s="43" t="str">
        <x:v>Contact quality, equal status, cooperation, authority support, prior conflict, group status, voluntariness, and opportunity for friendship.</x:v>
      </x:c>
      <x:c r="N93" s="43" t="str">
        <x:v>Intergroup Contact Quality; Cross-Group Friendship Prevalence; Intergroup Competition Intensity; Boundary Permeability</x:v>
      </x:c>
      <x:c r="O93" s="43" t="str">
        <x:v>Low</x:v>
      </x:c>
      <x:c r="P93" s="43" t="str">
        <x:v>Low</x:v>
      </x:c>
      <x:c r="Q93" s="43" t="str">
        <x:v>Weeks–Months; Months–Years</x:v>
      </x:c>
      <x:c r="R93" s="43" t="str">
        <x:v>Hours–Days</x:v>
      </x:c>
      <x:c r="S93" s="43" t="str">
        <x:v>Often persistent and historically path-dependent; repeated high-quality contact can accumulate over time.</x:v>
      </x:c>
      <x:c r="T93" s="43" t="str">
        <x:v>Cooperation; respect; equal participation; conflict; voluntary engagement</x:v>
      </x:c>
      <x:c r="U93" s="43" t="str">
        <x:v>Intergroup contact diary; cross-group network analysis; behavioral observation; group-level resource-flow data; longitudinal panel design</x:v>
      </x:c>
      <x:c r="V93" s="43" t="str">
        <x:v>Moderate</x:v>
      </x:c>
      <x:c r="W93" s="43" t="str">
        <x:v>Contact selection and context complicate causal inference; contact amount, quality, friendship, equality, cooperation, and segregation are distinct.</x:v>
      </x:c>
      <x:c r="X93" s="43" t="str">
        <x:v>Strong</x:v>
      </x:c>
      <x:c r="Y93" s="43" t="str">
        <x:v>Supported by converging review, meta-analytic, experimental, network, or longitudinal evidence. Specific effects and causal interpretation remain conditional on level, context, boundary, and measurement. Representative records: SRC244; SRC247; SRC268.</x:v>
      </x:c>
      <x:c r="Z93" s="43" t="str">
        <x:v>Representing perceived threat, anxiety, prejudice, or cultural difference as an external intergroup condition.</x:v>
      </x:c>
      <x:c r="AA93" s="43" t="str">
        <x:v>SRC244; SRC247; SRC268</x:v>
      </x:c>
    </x:row>
    <x:row r="94" ht="76" customHeight="1">
      <x:c r="A94" s="43" t="str">
        <x:v>SOC-090</x:v>
      </x:c>
      <x:c r="B94" s="43" t="str">
        <x:v>Cross-Group Friendship Prevalence</x:v>
      </x:c>
      <x:c r="C94" s="43" t="str">
        <x:v>Intergroup friendship; cross-category close ties; outgroup friendship</x:v>
      </x:c>
      <x:c r="D94" s="43" t="str">
        <x:v>Social</x:v>
      </x:c>
      <x:c r="E94" s="43" t="str">
        <x:v>Intergroup Contact, Boundaries &amp; Competition</x:v>
      </x:c>
      <x:c r="F94" s="43" t="str">
        <x:v>The proportion of members of specified groups who maintain at least one reciprocal friendship across the group boundary.</x:v>
      </x:c>
      <x:c r="G94" s="43" t="str">
        <x:v>Proportion</x:v>
      </x:c>
      <x:c r="H94" s="43" t="str">
        <x:v>0–1 members with cross-group friend; cross-group friendship share</x:v>
      </x:c>
      <x:c r="I94" s="43" t="str">
        <x:v>Higher values = more prevalent reciprocal friendship across the boundary.</x:v>
      </x:c>
      <x:c r="J94" s="43" t="str">
        <x:v>Creates sustained high-quality contact and relational pathways that can generalize trust and information beyond one encounter.</x:v>
      </x:c>
      <x:c r="K94" s="43" t="str">
        <x:v>Residential and organizational mixing; group boundaries; mobility; conflict; shared goals; resource distribution; institutional policy</x:v>
      </x:c>
      <x:c r="L94" s="43" t="str">
        <x:v>Intergroup anxiety; prejudice; trust; cooperation; conflict; identity salience; information flow; coalition formation</x:v>
      </x:c>
      <x:c r="M94" s="43" t="str">
        <x:v>Contact quality, equal status, cooperation, authority support, prior conflict, group status, voluntariness, and opportunity for friendship.</x:v>
      </x:c>
      <x:c r="N94" s="43" t="str">
        <x:v>Intergroup Contact Quality; Cross-Group Friendship Prevalence; Intergroup Competition Intensity; Boundary Permeability</x:v>
      </x:c>
      <x:c r="O94" s="43" t="str">
        <x:v>Low</x:v>
      </x:c>
      <x:c r="P94" s="43" t="str">
        <x:v>Low</x:v>
      </x:c>
      <x:c r="Q94" s="43" t="str">
        <x:v>Weeks–Months; Months–Years</x:v>
      </x:c>
      <x:c r="R94" s="43" t="str">
        <x:v>Hours–Days</x:v>
      </x:c>
      <x:c r="S94" s="43" t="str">
        <x:v>Often persistent and historically path-dependent; repeated high-quality contact can accumulate over time.</x:v>
      </x:c>
      <x:c r="T94" s="43" t="str">
        <x:v>Reciprocal friendship nominations; cross-group close-tie count; friendship duration</x:v>
      </x:c>
      <x:c r="U94" s="43" t="str">
        <x:v>Intergroup contact diary; cross-group network analysis; behavioral observation; group-level resource-flow data; longitudinal panel design</x:v>
      </x:c>
      <x:c r="V94" s="43" t="str">
        <x:v>Moderate</x:v>
      </x:c>
      <x:c r="W94" s="43" t="str">
        <x:v>Contact selection and context complicate causal inference; contact amount, quality, friendship, equality, cooperation, and segregation are distinct.</x:v>
      </x:c>
      <x:c r="X94" s="43" t="str">
        <x:v>Strong</x:v>
      </x:c>
      <x:c r="Y94" s="43" t="str">
        <x:v>Supported by converging review, meta-analytic, experimental, network, or longitudinal evidence. Specific effects and causal interpretation remain conditional on level, context, boundary, and measurement. Representative records: SRC244; SRC247; SRC266.</x:v>
      </x:c>
      <x:c r="Z94" s="43" t="str">
        <x:v>Representing perceived threat, anxiety, prejudice, or cultural difference as an external intergroup condition.</x:v>
      </x:c>
      <x:c r="AA94" s="43" t="str">
        <x:v>SRC244; SRC247; SRC266</x:v>
      </x:c>
    </x:row>
    <x:row r="95" ht="76" customHeight="1">
      <x:c r="A95" s="43" t="str">
        <x:v>SOC-091</x:v>
      </x:c>
      <x:c r="B95" s="43" t="str">
        <x:v>Intergroup Cooperation</x:v>
      </x:c>
      <x:c r="C95" s="43" t="str">
        <x:v>Cross-group joint action; cooperative interdependence; intergroup collaboration</x:v>
      </x:c>
      <x:c r="D95" s="43" t="str">
        <x:v>Social</x:v>
      </x:c>
      <x:c r="E95" s="43" t="str">
        <x:v>Intergroup Contact, Boundaries &amp; Competition</x:v>
      </x:c>
      <x:c r="F95" s="43" t="str">
        <x:v>The proportion or intensity of interactions in which members of different groups contribute toward a shared goal or mutual benefit.</x:v>
      </x:c>
      <x:c r="G95" s="43" t="str">
        <x:v>Magnitude / level</x:v>
      </x:c>
      <x:c r="H95" s="43" t="str">
        <x:v>Cooperative encounters per opportunity; joint contribution rate; low–high collaboration</x:v>
      </x:c>
      <x:c r="I95" s="43" t="str">
        <x:v>Higher values = more sustained or prevalent cooperation across groups.</x:v>
      </x:c>
      <x:c r="J95" s="43" t="str">
        <x:v>Creates positive interdependence and shared outcomes that can improve contact quality and reduce zero-sum expectations.</x:v>
      </x:c>
      <x:c r="K95" s="43" t="str">
        <x:v>Residential and organizational mixing; group boundaries; mobility; conflict; shared goals; resource distribution; institutional policy</x:v>
      </x:c>
      <x:c r="L95" s="43" t="str">
        <x:v>Intergroup anxiety; prejudice; trust; cooperation; conflict; identity salience; information flow; coalition formation</x:v>
      </x:c>
      <x:c r="M95" s="43" t="str">
        <x:v>Contact quality, equal status, cooperation, authority support, prior conflict, group status, voluntariness, and opportunity for friendship.</x:v>
      </x:c>
      <x:c r="N95" s="43" t="str">
        <x:v>Intergroup Contact Quality; Cross-Group Friendship Prevalence; Intergroup Competition Intensity; Boundary Permeability</x:v>
      </x:c>
      <x:c r="O95" s="43" t="str">
        <x:v>Low</x:v>
      </x:c>
      <x:c r="P95" s="43" t="str">
        <x:v>Low</x:v>
      </x:c>
      <x:c r="Q95" s="43" t="str">
        <x:v>Weeks–Months; Months–Years</x:v>
      </x:c>
      <x:c r="R95" s="43" t="str">
        <x:v>Hours–Days</x:v>
      </x:c>
      <x:c r="S95" s="43" t="str">
        <x:v>Often persistent and historically path-dependent; repeated high-quality contact can accumulate over time.</x:v>
      </x:c>
      <x:c r="T95" s="43" t="str">
        <x:v>Joint projects; shared-goal contributions; cooperative task completion</x:v>
      </x:c>
      <x:c r="U95" s="43" t="str">
        <x:v>Intergroup contact diary; cross-group network analysis; behavioral observation; group-level resource-flow data; longitudinal panel design</x:v>
      </x:c>
      <x:c r="V95" s="43" t="str">
        <x:v>Moderate</x:v>
      </x:c>
      <x:c r="W95" s="43" t="str">
        <x:v>Contact selection and context complicate causal inference; contact amount, quality, friendship, equality, cooperation, and segregation are distinct.</x:v>
      </x:c>
      <x:c r="X95" s="43" t="str">
        <x:v>Strong</x:v>
      </x:c>
      <x:c r="Y95" s="43" t="str">
        <x:v>Supported by converging review, meta-analytic, experimental, network, or longitudinal evidence. Specific effects and causal interpretation remain conditional on level, context, boundary, and measurement. Representative records: SRC244; SRC268; SRC273.</x:v>
      </x:c>
      <x:c r="Z95" s="43" t="str">
        <x:v>Representing perceived threat, anxiety, prejudice, or cultural difference as an external intergroup condition.</x:v>
      </x:c>
      <x:c r="AA95" s="43" t="str">
        <x:v>SRC244; SRC268; SRC273</x:v>
      </x:c>
    </x:row>
    <x:row r="96" ht="76" customHeight="1">
      <x:c r="A96" s="43" t="str">
        <x:v>SOC-092</x:v>
      </x:c>
      <x:c r="B96" s="43" t="str">
        <x:v>Intergroup Competition Intensity</x:v>
      </x:c>
      <x:c r="C96" s="43" t="str">
        <x:v>Group competition; zero-sum rivalry; intergroup contest intensity</x:v>
      </x:c>
      <x:c r="D96" s="43" t="str">
        <x:v>Social</x:v>
      </x:c>
      <x:c r="E96" s="43" t="str">
        <x:v>Intergroup Contact, Boundaries &amp; Competition</x:v>
      </x:c>
      <x:c r="F96" s="43" t="str">
        <x:v>The degree to which specified groups pursue mutually incompatible rewards, resources, positions, or outcomes.</x:v>
      </x:c>
      <x:c r="G96" s="43" t="str">
        <x:v>Magnitude / level</x:v>
      </x:c>
      <x:c r="H96" s="43" t="str">
        <x:v>Low–high rivalry; zero-sum share; contest frequency and stakes</x:v>
      </x:c>
      <x:c r="I96" s="43" t="str">
        <x:v>Higher values = more intense incompatibility and rivalry between groups.</x:v>
      </x:c>
      <x:c r="J96" s="43" t="str">
        <x:v>Raises incentives for coalition, exclusion, strategic hostility, and threat appraisal, while sometimes increasing within-group coordination.</x:v>
      </x:c>
      <x:c r="K96" s="43" t="str">
        <x:v>Residential and organizational mixing; group boundaries; mobility; conflict; shared goals; resource distribution; institutional policy</x:v>
      </x:c>
      <x:c r="L96" s="43" t="str">
        <x:v>Intergroup anxiety; prejudice; trust; cooperation; conflict; identity salience; information flow; coalition formation</x:v>
      </x:c>
      <x:c r="M96" s="43" t="str">
        <x:v>Contact quality, equal status, cooperation, authority support, prior conflict, group status, voluntariness, and opportunity for friendship.</x:v>
      </x:c>
      <x:c r="N96" s="43" t="str">
        <x:v>Intergroup Contact Quality; Cross-Group Friendship Prevalence; Intergroup Competition Intensity; Boundary Permeability</x:v>
      </x:c>
      <x:c r="O96" s="43" t="str">
        <x:v>Low</x:v>
      </x:c>
      <x:c r="P96" s="43" t="str">
        <x:v>Low</x:v>
      </x:c>
      <x:c r="Q96" s="43" t="str">
        <x:v>Weeks–Months; Months–Years</x:v>
      </x:c>
      <x:c r="R96" s="43" t="str">
        <x:v>Hours–Days</x:v>
      </x:c>
      <x:c r="S96" s="43" t="str">
        <x:v>Often persistent and historically path-dependent; repeated high-quality contact can accumulate over time.</x:v>
      </x:c>
      <x:c r="T96" s="43" t="str">
        <x:v>Contested resources; win–lose structure; hostile incidents; competitive mobilization</x:v>
      </x:c>
      <x:c r="U96" s="43" t="str">
        <x:v>Intergroup contact diary; cross-group network analysis; behavioral observation; group-level resource-flow data; longitudinal panel design</x:v>
      </x:c>
      <x:c r="V96" s="43" t="str">
        <x:v>Moderate</x:v>
      </x:c>
      <x:c r="W96" s="43" t="str">
        <x:v>Contact selection and context complicate causal inference; contact amount, quality, friendship, equality, cooperation, and segregation are distinct.</x:v>
      </x:c>
      <x:c r="X96" s="43" t="str">
        <x:v>Strong</x:v>
      </x:c>
      <x:c r="Y96" s="43" t="str">
        <x:v>Supported by converging review, meta-analytic, experimental, network, or longitudinal evidence. Specific effects and causal interpretation remain conditional on level, context, boundary, and measurement. Representative records: SRC245; SRC216; SRC273.</x:v>
      </x:c>
      <x:c r="Z96" s="43" t="str">
        <x:v>Representing perceived threat, anxiety, prejudice, or cultural difference as an external intergroup condition.</x:v>
      </x:c>
      <x:c r="AA96" s="43" t="str">
        <x:v>SRC245; SRC216; SRC273</x:v>
      </x:c>
    </x:row>
    <x:row r="97" ht="76" customHeight="1">
      <x:c r="A97" s="43" t="str">
        <x:v>SOC-093</x:v>
      </x:c>
      <x:c r="B97" s="43" t="str">
        <x:v>Intergroup Resource Interdependence</x:v>
      </x:c>
      <x:c r="C97" s="43" t="str">
        <x:v>Cross-group resource dependence; mutual dependence between groups; exchange interdependence</x:v>
      </x:c>
      <x:c r="D97" s="43" t="str">
        <x:v>Social</x:v>
      </x:c>
      <x:c r="E97" s="43" t="str">
        <x:v>Intergroup Contact, Boundaries &amp; Competition</x:v>
      </x:c>
      <x:c r="F97" s="43" t="str">
        <x:v>The degree to which each of two or more groups relies on resources, capabilities, or cooperation controlled by the other groups.</x:v>
      </x:c>
      <x:c r="G97" s="43" t="str">
        <x:v>Magnitude / level</x:v>
      </x:c>
      <x:c r="H97" s="43" t="str">
        <x:v>Low–high mutual dependence; reciprocal resource-flow share</x:v>
      </x:c>
      <x:c r="I97" s="43" t="str">
        <x:v>Higher values = stronger mutual dependence across the groups.</x:v>
      </x:c>
      <x:c r="J97" s="43" t="str">
        <x:v>Creates incentives for exchange and coordination while also generating vulnerability and bargaining leverage.</x:v>
      </x:c>
      <x:c r="K97" s="43" t="str">
        <x:v>Residential and organizational mixing; group boundaries; mobility; conflict; shared goals; resource distribution; institutional policy</x:v>
      </x:c>
      <x:c r="L97" s="43" t="str">
        <x:v>Intergroup anxiety; prejudice; trust; cooperation; conflict; identity salience; information flow; coalition formation</x:v>
      </x:c>
      <x:c r="M97" s="43" t="str">
        <x:v>Contact quality, equal status, cooperation, authority support, prior conflict, group status, voluntariness, and opportunity for friendship.</x:v>
      </x:c>
      <x:c r="N97" s="43" t="str">
        <x:v>Intergroup Contact Quality; Cross-Group Friendship Prevalence; Intergroup Competition Intensity; Boundary Permeability</x:v>
      </x:c>
      <x:c r="O97" s="43" t="str">
        <x:v>Low</x:v>
      </x:c>
      <x:c r="P97" s="43" t="str">
        <x:v>Low</x:v>
      </x:c>
      <x:c r="Q97" s="43" t="str">
        <x:v>Weeks–Months; Months–Years</x:v>
      </x:c>
      <x:c r="R97" s="43" t="str">
        <x:v>Hours–Days</x:v>
      </x:c>
      <x:c r="S97" s="43" t="str">
        <x:v>Often persistent and historically path-dependent; repeated high-quality contact can accumulate over time.</x:v>
      </x:c>
      <x:c r="T97" s="43" t="str">
        <x:v>Cross-group resource flows; shared infrastructure; dependence matrix; alternative sources</x:v>
      </x:c>
      <x:c r="U97" s="43" t="str">
        <x:v>Intergroup contact diary; cross-group network analysis; behavioral observation; group-level resource-flow data; longitudinal panel design</x:v>
      </x:c>
      <x:c r="V97" s="43" t="str">
        <x:v>Moderate</x:v>
      </x:c>
      <x:c r="W97" s="43" t="str">
        <x:v>Contact selection and context complicate causal inference; contact amount, quality, friendship, equality, cooperation, and segregation are distinct.</x:v>
      </x:c>
      <x:c r="X97" s="43" t="str">
        <x:v>Moderate</x:v>
      </x:c>
      <x:c r="Y97" s="43" t="str">
        <x:v>Scientifically defensible with substantial supporting literature, while construct boundaries, causal identification, measurement, or transferability remain context dependent. Representative records: SRC223; SRC228; SRC273.</x:v>
      </x:c>
      <x:c r="Z97" s="43" t="str">
        <x:v>Representing perceived threat, anxiety, prejudice, or cultural difference as an external intergroup condition.</x:v>
      </x:c>
      <x:c r="AA97" s="43" t="str">
        <x:v>SRC223; SRC228; SRC273</x:v>
      </x:c>
    </x:row>
    <x:row r="98" ht="76" customHeight="1">
      <x:c r="A98" s="43" t="str">
        <x:v>SOC-094</x:v>
      </x:c>
      <x:c r="B98" s="43" t="str">
        <x:v>Boundary Permeability</x:v>
      </x:c>
      <x:c r="C98" s="43" t="str">
        <x:v>Group boundary openness; membership mobility; ease of boundary crossing</x:v>
      </x:c>
      <x:c r="D98" s="43" t="str">
        <x:v>Social</x:v>
      </x:c>
      <x:c r="E98" s="43" t="str">
        <x:v>Intergroup Contact, Boundaries &amp; Competition</x:v>
      </x:c>
      <x:c r="F98" s="43" t="str">
        <x:v>The degree to which actors can enter, leave, or move across a specified social-group boundary in practice.</x:v>
      </x:c>
      <x:c r="G98" s="43" t="str">
        <x:v>Magnitude / level</x:v>
      </x:c>
      <x:c r="H98" s="43" t="str">
        <x:v>Closed–restricted–open boundary; transition probability; mobility rate</x:v>
      </x:c>
      <x:c r="I98" s="43" t="str">
        <x:v>Higher values = easier movement across the specified group boundary.</x:v>
      </x:c>
      <x:c r="J98" s="43" t="str">
        <x:v>Changes incentives for individual mobility, collective action, identity maintenance, and cross-group relationship formation.</x:v>
      </x:c>
      <x:c r="K98" s="43" t="str">
        <x:v>Residential and organizational mixing; group boundaries; mobility; conflict; shared goals; resource distribution; institutional policy</x:v>
      </x:c>
      <x:c r="L98" s="43" t="str">
        <x:v>Intergroup anxiety; prejudice; trust; cooperation; conflict; identity salience; information flow; coalition formation</x:v>
      </x:c>
      <x:c r="M98" s="43" t="str">
        <x:v>Contact quality, equal status, cooperation, authority support, prior conflict, group status, voluntariness, and opportunity for friendship.</x:v>
      </x:c>
      <x:c r="N98" s="43" t="str">
        <x:v>Intergroup Contact Quality; Cross-Group Friendship Prevalence; Intergroup Competition Intensity; Boundary Permeability</x:v>
      </x:c>
      <x:c r="O98" s="43" t="str">
        <x:v>Low</x:v>
      </x:c>
      <x:c r="P98" s="43" t="str">
        <x:v>Low</x:v>
      </x:c>
      <x:c r="Q98" s="43" t="str">
        <x:v>Weeks–Months; Months–Years</x:v>
      </x:c>
      <x:c r="R98" s="43" t="str">
        <x:v>Hours–Days</x:v>
      </x:c>
      <x:c r="S98" s="43" t="str">
        <x:v>Often persistent and historically path-dependent; repeated high-quality contact can accumulate over time.</x:v>
      </x:c>
      <x:c r="T98" s="43" t="str">
        <x:v>Membership transitions; eligibility barriers; cross-boundary participation; exit-entry rate</x:v>
      </x:c>
      <x:c r="U98" s="43" t="str">
        <x:v>Intergroup contact diary; cross-group network analysis; behavioral observation; group-level resource-flow data; longitudinal panel design</x:v>
      </x:c>
      <x:c r="V98" s="43" t="str">
        <x:v>Moderate</x:v>
      </x:c>
      <x:c r="W98" s="43" t="str">
        <x:v>Contact selection and context complicate causal inference; contact amount, quality, friendship, equality, cooperation, and segregation are distinct.</x:v>
      </x:c>
      <x:c r="X98" s="43" t="str">
        <x:v>Moderate</x:v>
      </x:c>
      <x:c r="Y98" s="43" t="str">
        <x:v>Scientifically defensible with substantial supporting literature, while construct boundaries, causal identification, measurement, or transferability remain context dependent. Representative records: SRC216; SRC268; SRC273.</x:v>
      </x:c>
      <x:c r="Z98" s="43" t="str">
        <x:v>Representing perceived threat, anxiety, prejudice, or cultural difference as an external intergroup condition.</x:v>
      </x:c>
      <x:c r="AA98" s="43" t="str">
        <x:v>SRC216; SRC268; SRC273</x:v>
      </x:c>
    </x:row>
    <x:row r="99" ht="76" customHeight="1">
      <x:c r="A99" s="43" t="str">
        <x:v>SOC-095</x:v>
      </x:c>
      <x:c r="B99" s="43" t="str">
        <x:v>Cross-Group Tie Density</x:v>
      </x:c>
      <x:c r="C99" s="43" t="str">
        <x:v>Between-group network density; intergroup connectedness; cross-boundary connectivity</x:v>
      </x:c>
      <x:c r="D99" s="43" t="str">
        <x:v>Social</x:v>
      </x:c>
      <x:c r="E99" s="43" t="str">
        <x:v>Intergroup Contact, Boundaries &amp; Competition</x:v>
      </x:c>
      <x:c r="F99" s="43" t="str">
        <x:v>The proportion of possible social ties between members of specified groups that are present.</x:v>
      </x:c>
      <x:c r="G99" s="43" t="str">
        <x:v>Proportion</x:v>
      </x:c>
      <x:c r="H99" s="43" t="str">
        <x:v>Observed cross-group ties divided by possible cross-group ties</x:v>
      </x:c>
      <x:c r="I99" s="43" t="str">
        <x:v>Higher values = denser social connectivity across the specified groups.</x:v>
      </x:c>
      <x:c r="J99" s="43" t="str">
        <x:v>Expands pathways for contact, information, support, and coordination while reducing relational separation.</x:v>
      </x:c>
      <x:c r="K99" s="43" t="str">
        <x:v>Residential and organizational mixing; group boundaries; mobility; conflict; shared goals; resource distribution; institutional policy</x:v>
      </x:c>
      <x:c r="L99" s="43" t="str">
        <x:v>Intergroup anxiety; prejudice; trust; cooperation; conflict; identity salience; information flow; coalition formation</x:v>
      </x:c>
      <x:c r="M99" s="43" t="str">
        <x:v>Contact quality, equal status, cooperation, authority support, prior conflict, group status, voluntariness, and opportunity for friendship.</x:v>
      </x:c>
      <x:c r="N99" s="43" t="str">
        <x:v>Intergroup Contact Quality; Cross-Group Friendship Prevalence; Intergroup Competition Intensity; Boundary Permeability</x:v>
      </x:c>
      <x:c r="O99" s="43" t="str">
        <x:v>Low</x:v>
      </x:c>
      <x:c r="P99" s="43" t="str">
        <x:v>Low</x:v>
      </x:c>
      <x:c r="Q99" s="43" t="str">
        <x:v>Weeks–Months; Months–Years</x:v>
      </x:c>
      <x:c r="R99" s="43" t="str">
        <x:v>Hours–Days</x:v>
      </x:c>
      <x:c r="S99" s="43" t="str">
        <x:v>Often persistent and historically path-dependent; repeated high-quality contact can accumulate over time.</x:v>
      </x:c>
      <x:c r="T99" s="43" t="str">
        <x:v>Between-group edge count; possible cross-group dyads; weighted cross-group density</x:v>
      </x:c>
      <x:c r="U99" s="43" t="str">
        <x:v>Intergroup contact diary; cross-group network analysis; behavioral observation; group-level resource-flow data; longitudinal panel design</x:v>
      </x:c>
      <x:c r="V99" s="43" t="str">
        <x:v>Moderate</x:v>
      </x:c>
      <x:c r="W99" s="43" t="str">
        <x:v>Contact selection and context complicate causal inference; contact amount, quality, friendship, equality, cooperation, and segregation are distinct.</x:v>
      </x:c>
      <x:c r="X99" s="43" t="str">
        <x:v>Strong</x:v>
      </x:c>
      <x:c r="Y99" s="43" t="str">
        <x:v>Supported by converging review, meta-analytic, experimental, network, or longitudinal evidence. Specific effects and causal interpretation remain conditional on level, context, boundary, and measurement. Representative records: SRC233; SRC234; SRC260.</x:v>
      </x:c>
      <x:c r="Z99" s="43" t="str">
        <x:v>Representing perceived threat, anxiety, prejudice, or cultural difference as an external intergroup condition.</x:v>
      </x:c>
      <x:c r="AA99" s="43" t="str">
        <x:v>SRC233; SRC234; SRC260</x:v>
      </x:c>
    </x:row>
    <x:row r="100" ht="76" customHeight="1">
      <x:c r="A100" s="43" t="str">
        <x:v>SOC-096</x:v>
      </x:c>
      <x:c r="B100" s="43" t="str">
        <x:v>Intergroup Status Inequality</x:v>
      </x:c>
      <x:c r="C100" s="43" t="str">
        <x:v>Group status gap; intergroup rank disparity; relative group standing</x:v>
      </x:c>
      <x:c r="D100" s="43" t="str">
        <x:v>Social</x:v>
      </x:c>
      <x:c r="E100" s="43" t="str">
        <x:v>Intergroup Contact, Boundaries &amp; Competition</x:v>
      </x:c>
      <x:c r="F100" s="43" t="str">
        <x:v>The magnitude of difference in socially conferred status, prestige, or deference between specified groups in a common social field.</x:v>
      </x:c>
      <x:c r="G100" s="43" t="str">
        <x:v>Magnitude / level</x:v>
      </x:c>
      <x:c r="H100" s="43" t="str">
        <x:v>Status-score gap; rank-distance; low–high inequality</x:v>
      </x:c>
      <x:c r="I100" s="43" t="str">
        <x:v>Higher values = greater status disparity between the groups.</x:v>
      </x:c>
      <x:c r="J100" s="43" t="str">
        <x:v>Structures whose perspectives and interests receive deference and conditions the meaning and consequences of contact or competition.</x:v>
      </x:c>
      <x:c r="K100" s="43" t="str">
        <x:v>Residential and organizational mixing; group boundaries; mobility; conflict; shared goals; resource distribution; institutional policy</x:v>
      </x:c>
      <x:c r="L100" s="43" t="str">
        <x:v>Intergroup anxiety; prejudice; trust; cooperation; conflict; identity salience; information flow; coalition formation</x:v>
      </x:c>
      <x:c r="M100" s="43" t="str">
        <x:v>Contact quality, equal status, cooperation, authority support, prior conflict, group status, voluntariness, and opportunity for friendship.</x:v>
      </x:c>
      <x:c r="N100" s="43" t="str">
        <x:v>Intergroup Contact Quality; Cross-Group Friendship Prevalence; Intergroup Competition Intensity; Boundary Permeability</x:v>
      </x:c>
      <x:c r="O100" s="43" t="str">
        <x:v>Low</x:v>
      </x:c>
      <x:c r="P100" s="43" t="str">
        <x:v>Low</x:v>
      </x:c>
      <x:c r="Q100" s="43" t="str">
        <x:v>Weeks–Months; Months–Years</x:v>
      </x:c>
      <x:c r="R100" s="43" t="str">
        <x:v>Hours–Days</x:v>
      </x:c>
      <x:c r="S100" s="43" t="str">
        <x:v>Often persistent and historically path-dependent; repeated high-quality contact can accumulate over time.</x:v>
      </x:c>
      <x:c r="T100" s="43" t="str">
        <x:v>Group prestige ratings; deference patterns; representation in high-status positions</x:v>
      </x:c>
      <x:c r="U100" s="43" t="str">
        <x:v>Intergroup contact diary; cross-group network analysis; behavioral observation; group-level resource-flow data; longitudinal panel design</x:v>
      </x:c>
      <x:c r="V100" s="43" t="str">
        <x:v>Moderate</x:v>
      </x:c>
      <x:c r="W100" s="43" t="str">
        <x:v>Contact selection and context complicate causal inference; contact amount, quality, friendship, equality, cooperation, and segregation are distinct.</x:v>
      </x:c>
      <x:c r="X100" s="43" t="str">
        <x:v>Moderate</x:v>
      </x:c>
      <x:c r="Y100" s="43" t="str">
        <x:v>Scientifically defensible with substantial supporting literature, while construct boundaries, causal identification, measurement, or transferability remain context dependent. Representative records: SRC228; SRC245; SRC273.</x:v>
      </x:c>
      <x:c r="Z100" s="43" t="str">
        <x:v>Representing perceived threat, anxiety, prejudice, or cultural difference as an external intergroup condition.</x:v>
      </x:c>
      <x:c r="AA100" s="43" t="str">
        <x:v>SRC228; SRC245; SRC273</x:v>
      </x:c>
    </x:row>
    <x:row r="101" ht="76" customHeight="1">
      <x:c r="A101" s="43" t="str">
        <x:v>SOC-097</x:v>
      </x:c>
      <x:c r="B101" s="43" t="str">
        <x:v>Cross-Cutting Membership Prevalence</x:v>
      </x:c>
      <x:c r="C101" s="43" t="str">
        <x:v>Overlapping group membership; cross-cutting affiliations; multiple-category bridges</x:v>
      </x:c>
      <x:c r="D101" s="43" t="str">
        <x:v>Social</x:v>
      </x:c>
      <x:c r="E101" s="43" t="str">
        <x:v>Intergroup Contact, Boundaries &amp; Competition</x:v>
      </x:c>
      <x:c r="F101" s="43" t="str">
        <x:v>The proportion of actors who simultaneously belong to groups that cross the focal intergroup division.</x:v>
      </x:c>
      <x:c r="G101" s="43" t="str">
        <x:v>Proportion</x:v>
      </x:c>
      <x:c r="H101" s="43" t="str">
        <x:v>0–1 actors with cross-cutting memberships; overlapping-membership share</x:v>
      </x:c>
      <x:c r="I101" s="43" t="str">
        <x:v>Higher values = more actors bridge the focal division through overlapping memberships.</x:v>
      </x:c>
      <x:c r="J101" s="43" t="str">
        <x:v>Creates relational and identity bridges that can complicate simple us–them coalitions and connect otherwise separated networks.</x:v>
      </x:c>
      <x:c r="K101" s="43" t="str">
        <x:v>Residential and organizational mixing; group boundaries; mobility; conflict; shared goals; resource distribution; institutional policy</x:v>
      </x:c>
      <x:c r="L101" s="43" t="str">
        <x:v>Intergroup anxiety; prejudice; trust; cooperation; conflict; identity salience; information flow; coalition formation</x:v>
      </x:c>
      <x:c r="M101" s="43" t="str">
        <x:v>Contact quality, equal status, cooperation, authority support, prior conflict, group status, voluntariness, and opportunity for friendship.</x:v>
      </x:c>
      <x:c r="N101" s="43" t="str">
        <x:v>Intergroup Contact Quality; Cross-Group Friendship Prevalence; Intergroup Competition Intensity; Boundary Permeability</x:v>
      </x:c>
      <x:c r="O101" s="43" t="str">
        <x:v>Low</x:v>
      </x:c>
      <x:c r="P101" s="43" t="str">
        <x:v>Low</x:v>
      </x:c>
      <x:c r="Q101" s="43" t="str">
        <x:v>Weeks–Months; Months–Years</x:v>
      </x:c>
      <x:c r="R101" s="43" t="str">
        <x:v>Hours–Days</x:v>
      </x:c>
      <x:c r="S101" s="43" t="str">
        <x:v>Often persistent and historically path-dependent; repeated high-quality contact can accumulate over time.</x:v>
      </x:c>
      <x:c r="T101" s="43" t="str">
        <x:v>Dual memberships; overlapping affiliation matrix; boundary-spanning roles</x:v>
      </x:c>
      <x:c r="U101" s="43" t="str">
        <x:v>Intergroup contact diary; cross-group network analysis; behavioral observation; group-level resource-flow data; longitudinal panel design</x:v>
      </x:c>
      <x:c r="V101" s="43" t="str">
        <x:v>Moderate</x:v>
      </x:c>
      <x:c r="W101" s="43" t="str">
        <x:v>Contact selection and context complicate causal inference; contact amount, quality, friendship, equality, cooperation, and segregation are distinct.</x:v>
      </x:c>
      <x:c r="X101" s="43" t="str">
        <x:v>Moderate</x:v>
      </x:c>
      <x:c r="Y101" s="43" t="str">
        <x:v>Scientifically defensible with substantial supporting literature, while construct boundaries, causal identification, measurement, or transferability remain context dependent. Representative records: SRC216; SRC233; SRC273.</x:v>
      </x:c>
      <x:c r="Z101" s="43" t="str">
        <x:v>Representing perceived threat, anxiety, prejudice, or cultural difference as an external intergroup condition.</x:v>
      </x:c>
      <x:c r="AA101" s="43" t="str">
        <x:v>SRC216; SRC233; SRC273</x:v>
      </x:c>
    </x:row>
    <x:row r="102" ht="72" customHeight="1">
      <x:c r="A102"/>
      <x:c r="B102"/>
      <x:c r="C102"/>
      <x:c r="D102"/>
      <x:c r="E102"/>
      <x:c r="F102"/>
      <x:c r="G102"/>
      <x:c r="H102"/>
      <x:c r="I102"/>
      <x:c r="J102"/>
      <x:c r="K102"/>
      <x:c r="L102"/>
      <x:c r="M102"/>
      <x:c r="N102"/>
      <x:c r="O102"/>
      <x:c r="P102"/>
      <x:c r="Q102"/>
      <x:c r="R102"/>
      <x:c r="S102"/>
      <x:c r="T102"/>
      <x:c r="U102"/>
      <x:c r="V102"/>
      <x:c r="W102"/>
      <x:c r="X102"/>
      <x:c r="Y102"/>
      <x:c r="Z102"/>
      <x:c r="AA102"/>
    </x:row>
    <x:row r="103" ht="72" customHeight="1">
      <x:c r="A103"/>
      <x:c r="B103"/>
      <x:c r="C103"/>
      <x:c r="D103"/>
      <x:c r="E103"/>
      <x:c r="F103"/>
      <x:c r="G103"/>
      <x:c r="H103"/>
      <x:c r="I103"/>
      <x:c r="J103"/>
      <x:c r="K103"/>
      <x:c r="L103"/>
      <x:c r="M103"/>
      <x:c r="N103"/>
      <x:c r="O103"/>
      <x:c r="P103"/>
      <x:c r="Q103"/>
      <x:c r="R103"/>
      <x:c r="S103"/>
      <x:c r="T103"/>
      <x:c r="U103"/>
      <x:c r="V103"/>
      <x:c r="W103"/>
      <x:c r="X103"/>
      <x:c r="Y103"/>
      <x:c r="Z103"/>
      <x:c r="AA103"/>
    </x:row>
    <x:row r="104" ht="72" customHeight="1">
      <x:c r="A104"/>
      <x:c r="B104"/>
      <x:c r="C104"/>
      <x:c r="D104"/>
      <x:c r="E104"/>
      <x:c r="F104"/>
      <x:c r="G104"/>
      <x:c r="H104"/>
      <x:c r="I104"/>
      <x:c r="J104"/>
      <x:c r="K104"/>
      <x:c r="L104"/>
      <x:c r="M104"/>
      <x:c r="N104"/>
      <x:c r="O104"/>
      <x:c r="P104"/>
      <x:c r="Q104"/>
      <x:c r="R104"/>
      <x:c r="S104"/>
      <x:c r="T104"/>
      <x:c r="U104"/>
      <x:c r="V104"/>
      <x:c r="W104"/>
      <x:c r="X104"/>
      <x:c r="Y104"/>
      <x:c r="Z104"/>
      <x:c r="AA104"/>
    </x:row>
    <x:row r="105" ht="72" customHeight="1">
      <x:c r="A105"/>
      <x:c r="B105"/>
      <x:c r="C105"/>
      <x:c r="D105"/>
      <x:c r="E105"/>
      <x:c r="F105"/>
      <x:c r="G105"/>
      <x:c r="H105"/>
      <x:c r="I105"/>
      <x:c r="J105"/>
      <x:c r="K105"/>
      <x:c r="L105"/>
      <x:c r="M105"/>
      <x:c r="N105"/>
      <x:c r="O105"/>
      <x:c r="P105"/>
      <x:c r="Q105"/>
      <x:c r="R105"/>
      <x:c r="S105"/>
      <x:c r="T105"/>
      <x:c r="U105"/>
      <x:c r="V105"/>
      <x:c r="W105"/>
      <x:c r="X105"/>
      <x:c r="Y105"/>
      <x:c r="Z105"/>
      <x:c r="AA105"/>
    </x:row>
    <x:row r="106" ht="72" customHeight="1">
      <x:c r="A106"/>
      <x:c r="B106"/>
      <x:c r="C106"/>
      <x:c r="D106"/>
      <x:c r="E106"/>
      <x:c r="F106"/>
      <x:c r="G106"/>
      <x:c r="H106"/>
      <x:c r="I106"/>
      <x:c r="J106"/>
      <x:c r="K106"/>
      <x:c r="L106"/>
      <x:c r="M106"/>
      <x:c r="N106"/>
      <x:c r="O106"/>
      <x:c r="P106"/>
      <x:c r="Q106"/>
      <x:c r="R106"/>
      <x:c r="S106"/>
      <x:c r="T106"/>
      <x:c r="U106"/>
      <x:c r="V106"/>
      <x:c r="W106"/>
      <x:c r="X106"/>
      <x:c r="Y106"/>
      <x:c r="Z106"/>
      <x:c r="AA106"/>
    </x:row>
    <x:row r="107" ht="72" customHeight="1">
      <x:c r="A107"/>
      <x:c r="B107"/>
      <x:c r="C107"/>
      <x:c r="D107"/>
      <x:c r="E107"/>
      <x:c r="F107"/>
      <x:c r="G107"/>
      <x:c r="H107"/>
      <x:c r="I107"/>
      <x:c r="J107"/>
      <x:c r="K107"/>
      <x:c r="L107"/>
      <x:c r="M107"/>
      <x:c r="N107"/>
      <x:c r="O107"/>
      <x:c r="P107"/>
      <x:c r="Q107"/>
      <x:c r="R107"/>
      <x:c r="S107"/>
      <x:c r="T107"/>
      <x:c r="U107"/>
      <x:c r="V107"/>
      <x:c r="W107"/>
      <x:c r="X107"/>
      <x:c r="Y107"/>
      <x:c r="Z107"/>
      <x:c r="AA107"/>
    </x:row>
    <x:row r="108" ht="72" customHeight="1">
      <x:c r="A108"/>
      <x:c r="B108"/>
      <x:c r="C108"/>
      <x:c r="D108"/>
      <x:c r="E108"/>
      <x:c r="F108"/>
      <x:c r="G108"/>
      <x:c r="H108"/>
      <x:c r="I108"/>
      <x:c r="J108"/>
      <x:c r="K108"/>
      <x:c r="L108"/>
      <x:c r="M108"/>
      <x:c r="N108"/>
      <x:c r="O108"/>
      <x:c r="P108"/>
      <x:c r="Q108"/>
      <x:c r="R108"/>
      <x:c r="S108"/>
      <x:c r="T108"/>
      <x:c r="U108"/>
      <x:c r="V108"/>
      <x:c r="W108"/>
      <x:c r="X108"/>
      <x:c r="Y108"/>
      <x:c r="Z108"/>
      <x:c r="AA108"/>
    </x:row>
    <x:row r="109" ht="72" customHeight="1">
      <x:c r="A109"/>
      <x:c r="B109"/>
      <x:c r="C109"/>
      <x:c r="D109"/>
      <x:c r="E109"/>
      <x:c r="F109"/>
      <x:c r="G109"/>
      <x:c r="H109"/>
      <x:c r="I109"/>
      <x:c r="J109"/>
      <x:c r="K109"/>
      <x:c r="L109"/>
      <x:c r="M109"/>
      <x:c r="N109"/>
      <x:c r="O109"/>
      <x:c r="P109"/>
      <x:c r="Q109"/>
      <x:c r="R109"/>
      <x:c r="S109"/>
      <x:c r="T109"/>
      <x:c r="U109"/>
      <x:c r="V109"/>
      <x:c r="W109"/>
      <x:c r="X109"/>
      <x:c r="Y109"/>
      <x:c r="Z109"/>
      <x:c r="AA109"/>
    </x:row>
    <x:row r="110" ht="72" customHeight="1">
      <x:c r="A110"/>
      <x:c r="B110"/>
      <x:c r="C110"/>
      <x:c r="D110"/>
      <x:c r="E110"/>
      <x:c r="F110"/>
      <x:c r="G110"/>
      <x:c r="H110"/>
      <x:c r="I110"/>
      <x:c r="J110"/>
      <x:c r="K110"/>
      <x:c r="L110"/>
      <x:c r="M110"/>
      <x:c r="N110"/>
      <x:c r="O110"/>
      <x:c r="P110"/>
      <x:c r="Q110"/>
      <x:c r="R110"/>
      <x:c r="S110"/>
      <x:c r="T110"/>
      <x:c r="U110"/>
      <x:c r="V110"/>
      <x:c r="W110"/>
      <x:c r="X110"/>
      <x:c r="Y110"/>
      <x:c r="Z110"/>
      <x:c r="AA110"/>
    </x:row>
    <x:row r="111" ht="72" customHeight="1">
      <x:c r="A111"/>
      <x:c r="B111"/>
      <x:c r="C111"/>
      <x:c r="D111"/>
      <x:c r="E111"/>
      <x:c r="F111"/>
      <x:c r="G111"/>
      <x:c r="H111"/>
      <x:c r="I111"/>
      <x:c r="J111"/>
      <x:c r="K111"/>
      <x:c r="L111"/>
      <x:c r="M111"/>
      <x:c r="N111"/>
      <x:c r="O111"/>
      <x:c r="P111"/>
      <x:c r="Q111"/>
      <x:c r="R111"/>
      <x:c r="S111"/>
      <x:c r="T111"/>
      <x:c r="U111"/>
      <x:c r="V111"/>
      <x:c r="W111"/>
      <x:c r="X111"/>
      <x:c r="Y111"/>
      <x:c r="Z111"/>
      <x:c r="AA111"/>
    </x:row>
    <x:row r="112" ht="72" customHeight="1">
      <x:c r="A112"/>
      <x:c r="B112"/>
      <x:c r="C112"/>
      <x:c r="D112"/>
      <x:c r="E112"/>
      <x:c r="F112"/>
      <x:c r="G112"/>
      <x:c r="H112"/>
      <x:c r="I112"/>
      <x:c r="J112"/>
      <x:c r="K112"/>
      <x:c r="L112"/>
      <x:c r="M112"/>
      <x:c r="N112"/>
      <x:c r="O112"/>
      <x:c r="P112"/>
      <x:c r="Q112"/>
      <x:c r="R112"/>
      <x:c r="S112"/>
      <x:c r="T112"/>
      <x:c r="U112"/>
      <x:c r="V112"/>
      <x:c r="W112"/>
      <x:c r="X112"/>
      <x:c r="Y112"/>
      <x:c r="Z112"/>
      <x:c r="AA112"/>
    </x:row>
    <x:row r="113" ht="72" customHeight="1">
      <x:c r="A113"/>
      <x:c r="B113"/>
      <x:c r="C113"/>
      <x:c r="D113"/>
      <x:c r="E113"/>
      <x:c r="F113"/>
      <x:c r="G113"/>
      <x:c r="H113"/>
      <x:c r="I113"/>
      <x:c r="J113"/>
      <x:c r="K113"/>
      <x:c r="L113"/>
      <x:c r="M113"/>
      <x:c r="N113"/>
      <x:c r="O113"/>
      <x:c r="P113"/>
      <x:c r="Q113"/>
      <x:c r="R113"/>
      <x:c r="S113"/>
      <x:c r="T113"/>
      <x:c r="U113"/>
      <x:c r="V113"/>
      <x:c r="W113"/>
      <x:c r="X113"/>
      <x:c r="Y113"/>
      <x:c r="Z113"/>
      <x:c r="AA113"/>
    </x:row>
    <x:row r="114" ht="72" customHeight="1">
      <x:c r="A114"/>
      <x:c r="B114"/>
      <x:c r="C114"/>
      <x:c r="D114"/>
      <x:c r="E114"/>
      <x:c r="F114"/>
      <x:c r="G114"/>
      <x:c r="H114"/>
      <x:c r="I114"/>
      <x:c r="J114"/>
      <x:c r="K114"/>
      <x:c r="L114"/>
      <x:c r="M114"/>
      <x:c r="N114"/>
      <x:c r="O114"/>
      <x:c r="P114"/>
      <x:c r="Q114"/>
      <x:c r="R114"/>
      <x:c r="S114"/>
      <x:c r="T114"/>
      <x:c r="U114"/>
      <x:c r="V114"/>
      <x:c r="W114"/>
      <x:c r="X114"/>
      <x:c r="Y114"/>
      <x:c r="Z114"/>
      <x:c r="AA114"/>
    </x:row>
    <x:row r="115" ht="72" customHeight="1">
      <x:c r="A115"/>
      <x:c r="B115"/>
      <x:c r="C115"/>
      <x:c r="D115"/>
      <x:c r="E115"/>
      <x:c r="F115"/>
      <x:c r="G115"/>
      <x:c r="H115"/>
      <x:c r="I115"/>
      <x:c r="J115"/>
      <x:c r="K115"/>
      <x:c r="L115"/>
      <x:c r="M115"/>
      <x:c r="N115"/>
      <x:c r="O115"/>
      <x:c r="P115"/>
      <x:c r="Q115"/>
      <x:c r="R115"/>
      <x:c r="S115"/>
      <x:c r="T115"/>
      <x:c r="U115"/>
      <x:c r="V115"/>
      <x:c r="W115"/>
      <x:c r="X115"/>
      <x:c r="Y115"/>
      <x:c r="Z115"/>
      <x:c r="AA115"/>
    </x:row>
    <x:row r="116" ht="72" customHeight="1">
      <x:c r="A116"/>
      <x:c r="B116"/>
      <x:c r="C116"/>
      <x:c r="D116"/>
      <x:c r="E116"/>
      <x:c r="F116"/>
      <x:c r="G116"/>
      <x:c r="H116"/>
      <x:c r="I116"/>
      <x:c r="J116"/>
      <x:c r="K116"/>
      <x:c r="L116"/>
      <x:c r="M116"/>
      <x:c r="N116"/>
      <x:c r="O116"/>
      <x:c r="P116"/>
      <x:c r="Q116"/>
      <x:c r="R116"/>
      <x:c r="S116"/>
      <x:c r="T116"/>
      <x:c r="U116"/>
      <x:c r="V116"/>
      <x:c r="W116"/>
      <x:c r="X116"/>
      <x:c r="Y116"/>
      <x:c r="Z116"/>
      <x:c r="AA116"/>
    </x:row>
    <x:row r="117" ht="72" customHeight="1">
      <x:c r="A117"/>
      <x:c r="B117"/>
      <x:c r="C117"/>
      <x:c r="D117"/>
      <x:c r="E117"/>
      <x:c r="F117"/>
      <x:c r="G117"/>
      <x:c r="H117"/>
      <x:c r="I117"/>
      <x:c r="J117"/>
      <x:c r="K117"/>
      <x:c r="L117"/>
      <x:c r="M117"/>
      <x:c r="N117"/>
      <x:c r="O117"/>
      <x:c r="P117"/>
      <x:c r="Q117"/>
      <x:c r="R117"/>
      <x:c r="S117"/>
      <x:c r="T117"/>
      <x:c r="U117"/>
      <x:c r="V117"/>
      <x:c r="W117"/>
      <x:c r="X117"/>
      <x:c r="Y117"/>
      <x:c r="Z117"/>
      <x:c r="AA117"/>
    </x:row>
    <x:row r="118" ht="72" customHeight="1">
      <x:c r="A118"/>
      <x:c r="B118"/>
      <x:c r="C118"/>
      <x:c r="D118"/>
      <x:c r="E118"/>
      <x:c r="F118"/>
      <x:c r="G118"/>
      <x:c r="H118"/>
      <x:c r="I118"/>
      <x:c r="J118"/>
      <x:c r="K118"/>
      <x:c r="L118"/>
      <x:c r="M118"/>
      <x:c r="N118"/>
      <x:c r="O118"/>
      <x:c r="P118"/>
      <x:c r="Q118"/>
      <x:c r="R118"/>
      <x:c r="S118"/>
      <x:c r="T118"/>
      <x:c r="U118"/>
      <x:c r="V118"/>
      <x:c r="W118"/>
      <x:c r="X118"/>
      <x:c r="Y118"/>
      <x:c r="Z118"/>
      <x:c r="AA118"/>
    </x:row>
    <x:row r="119" ht="72" customHeight="1">
      <x:c r="A119"/>
      <x:c r="B119"/>
      <x:c r="C119"/>
      <x:c r="D119"/>
      <x:c r="E119"/>
      <x:c r="F119"/>
      <x:c r="G119"/>
      <x:c r="H119"/>
      <x:c r="I119"/>
      <x:c r="J119"/>
      <x:c r="K119"/>
      <x:c r="L119"/>
      <x:c r="M119"/>
      <x:c r="N119"/>
      <x:c r="O119"/>
      <x:c r="P119"/>
      <x:c r="Q119"/>
      <x:c r="R119"/>
      <x:c r="S119"/>
      <x:c r="T119"/>
      <x:c r="U119"/>
      <x:c r="V119"/>
      <x:c r="W119"/>
      <x:c r="X119"/>
      <x:c r="Y119"/>
      <x:c r="Z119"/>
      <x:c r="AA119"/>
    </x:row>
    <x:row r="120" ht="72" customHeight="1">
      <x:c r="A120"/>
      <x:c r="B120"/>
      <x:c r="C120"/>
      <x:c r="D120"/>
      <x:c r="E120"/>
      <x:c r="F120"/>
      <x:c r="G120"/>
      <x:c r="H120"/>
      <x:c r="I120"/>
      <x:c r="J120"/>
      <x:c r="K120"/>
      <x:c r="L120"/>
      <x:c r="M120"/>
      <x:c r="N120"/>
      <x:c r="O120"/>
      <x:c r="P120"/>
      <x:c r="Q120"/>
      <x:c r="R120"/>
      <x:c r="S120"/>
      <x:c r="T120"/>
      <x:c r="U120"/>
      <x:c r="V120"/>
      <x:c r="W120"/>
      <x:c r="X120"/>
      <x:c r="Y120"/>
      <x:c r="Z120"/>
      <x:c r="AA120"/>
    </x:row>
    <x:row r="121" ht="72" customHeight="1">
      <x:c r="A121"/>
      <x:c r="B121"/>
      <x:c r="C121"/>
      <x:c r="D121"/>
      <x:c r="E121"/>
      <x:c r="F121"/>
      <x:c r="G121"/>
      <x:c r="H121"/>
      <x:c r="I121"/>
      <x:c r="J121"/>
      <x:c r="K121"/>
      <x:c r="L121"/>
      <x:c r="M121"/>
      <x:c r="N121"/>
      <x:c r="O121"/>
      <x:c r="P121"/>
      <x:c r="Q121"/>
      <x:c r="R121"/>
      <x:c r="S121"/>
      <x:c r="T121"/>
      <x:c r="U121"/>
      <x:c r="V121"/>
      <x:c r="W121"/>
      <x:c r="X121"/>
      <x:c r="Y121"/>
      <x:c r="Z121"/>
      <x:c r="AA121"/>
    </x:row>
    <x:row r="122" ht="72" customHeight="1">
      <x:c r="A122"/>
      <x:c r="B122"/>
      <x:c r="C122"/>
      <x:c r="D122"/>
      <x:c r="E122"/>
      <x:c r="F122"/>
      <x:c r="G122"/>
      <x:c r="H122"/>
      <x:c r="I122"/>
      <x:c r="J122"/>
      <x:c r="K122"/>
      <x:c r="L122"/>
      <x:c r="M122"/>
      <x:c r="N122"/>
      <x:c r="O122"/>
      <x:c r="P122"/>
      <x:c r="Q122"/>
      <x:c r="R122"/>
      <x:c r="S122"/>
      <x:c r="T122"/>
      <x:c r="U122"/>
      <x:c r="V122"/>
      <x:c r="W122"/>
      <x:c r="X122"/>
      <x:c r="Y122"/>
      <x:c r="Z122"/>
      <x:c r="AA122"/>
    </x:row>
    <x:row r="123" ht="72" customHeight="1">
      <x:c r="A123"/>
      <x:c r="B123"/>
      <x:c r="C123"/>
      <x:c r="D123"/>
      <x:c r="E123"/>
      <x:c r="F123"/>
      <x:c r="G123"/>
      <x:c r="H123"/>
      <x:c r="I123"/>
      <x:c r="J123"/>
      <x:c r="K123"/>
      <x:c r="L123"/>
      <x:c r="M123"/>
      <x:c r="N123"/>
      <x:c r="O123"/>
      <x:c r="P123"/>
      <x:c r="Q123"/>
      <x:c r="R123"/>
      <x:c r="S123"/>
      <x:c r="T123"/>
      <x:c r="U123"/>
      <x:c r="V123"/>
      <x:c r="W123"/>
      <x:c r="X123"/>
      <x:c r="Y123"/>
      <x:c r="Z123"/>
      <x:c r="AA123"/>
    </x:row>
    <x:row r="124" ht="72" customHeight="1">
      <x:c r="A124"/>
      <x:c r="B124"/>
      <x:c r="C124"/>
      <x:c r="D124"/>
      <x:c r="E124"/>
      <x:c r="F124"/>
      <x:c r="G124"/>
      <x:c r="H124"/>
      <x:c r="I124"/>
      <x:c r="J124"/>
      <x:c r="K124"/>
      <x:c r="L124"/>
      <x:c r="M124"/>
      <x:c r="N124"/>
      <x:c r="O124"/>
      <x:c r="P124"/>
      <x:c r="Q124"/>
      <x:c r="R124"/>
      <x:c r="S124"/>
      <x:c r="T124"/>
      <x:c r="U124"/>
      <x:c r="V124"/>
      <x:c r="W124"/>
      <x:c r="X124"/>
      <x:c r="Y124"/>
      <x:c r="Z124"/>
      <x:c r="AA124"/>
    </x:row>
    <x:row r="125" ht="72" customHeight="1">
      <x:c r="A125"/>
      <x:c r="B125"/>
      <x:c r="C125"/>
      <x:c r="D125"/>
      <x:c r="E125"/>
      <x:c r="F125"/>
      <x:c r="G125"/>
      <x:c r="H125"/>
      <x:c r="I125"/>
      <x:c r="J125"/>
      <x:c r="K125"/>
      <x:c r="L125"/>
      <x:c r="M125"/>
      <x:c r="N125"/>
      <x:c r="O125"/>
      <x:c r="P125"/>
      <x:c r="Q125"/>
      <x:c r="R125"/>
      <x:c r="S125"/>
      <x:c r="T125"/>
      <x:c r="U125"/>
      <x:c r="V125"/>
      <x:c r="W125"/>
      <x:c r="X125"/>
      <x:c r="Y125"/>
      <x:c r="Z125"/>
      <x:c r="AA125"/>
    </x:row>
    <x:row r="126" ht="72" customHeight="1">
      <x:c r="A126"/>
      <x:c r="B126"/>
      <x:c r="C126"/>
      <x:c r="D126"/>
      <x:c r="E126"/>
      <x:c r="F126"/>
      <x:c r="G126"/>
      <x:c r="H126"/>
      <x:c r="I126"/>
      <x:c r="J126"/>
      <x:c r="K126"/>
      <x:c r="L126"/>
      <x:c r="M126"/>
      <x:c r="N126"/>
      <x:c r="O126"/>
      <x:c r="P126"/>
      <x:c r="Q126"/>
      <x:c r="R126"/>
      <x:c r="S126"/>
      <x:c r="T126"/>
      <x:c r="U126"/>
      <x:c r="V126"/>
      <x:c r="W126"/>
      <x:c r="X126"/>
      <x:c r="Y126"/>
      <x:c r="Z126"/>
      <x:c r="AA126"/>
    </x:row>
    <x:row r="127" ht="72" customHeight="1">
      <x:c r="A127"/>
      <x:c r="B127"/>
      <x:c r="C127"/>
      <x:c r="D127"/>
      <x:c r="E127"/>
      <x:c r="F127"/>
      <x:c r="G127"/>
      <x:c r="H127"/>
      <x:c r="I127"/>
      <x:c r="J127"/>
      <x:c r="K127"/>
      <x:c r="L127"/>
      <x:c r="M127"/>
      <x:c r="N127"/>
      <x:c r="O127"/>
      <x:c r="P127"/>
      <x:c r="Q127"/>
      <x:c r="R127"/>
      <x:c r="S127"/>
      <x:c r="T127"/>
      <x:c r="U127"/>
      <x:c r="V127"/>
      <x:c r="W127"/>
      <x:c r="X127"/>
      <x:c r="Y127"/>
      <x:c r="Z127"/>
      <x:c r="AA127"/>
    </x:row>
    <x:row r="128" ht="72" customHeight="1">
      <x:c r="A128"/>
      <x:c r="B128"/>
      <x:c r="C128"/>
      <x:c r="D128"/>
      <x:c r="E128"/>
      <x:c r="F128"/>
      <x:c r="G128"/>
      <x:c r="H128"/>
      <x:c r="I128"/>
      <x:c r="J128"/>
      <x:c r="K128"/>
      <x:c r="L128"/>
      <x:c r="M128"/>
      <x:c r="N128"/>
      <x:c r="O128"/>
      <x:c r="P128"/>
      <x:c r="Q128"/>
      <x:c r="R128"/>
      <x:c r="S128"/>
      <x:c r="T128"/>
      <x:c r="U128"/>
      <x:c r="V128"/>
      <x:c r="W128"/>
      <x:c r="X128"/>
      <x:c r="Y128"/>
      <x:c r="Z128"/>
      <x:c r="AA128"/>
    </x:row>
    <x:row r="129" ht="72" customHeight="1">
      <x:c r="A129"/>
      <x:c r="B129"/>
      <x:c r="C129"/>
      <x:c r="D129"/>
      <x:c r="E129"/>
      <x:c r="F129"/>
      <x:c r="G129"/>
      <x:c r="H129"/>
      <x:c r="I129"/>
      <x:c r="J129"/>
      <x:c r="K129"/>
      <x:c r="L129"/>
      <x:c r="M129"/>
      <x:c r="N129"/>
      <x:c r="O129"/>
      <x:c r="P129"/>
      <x:c r="Q129"/>
      <x:c r="R129"/>
      <x:c r="S129"/>
      <x:c r="T129"/>
      <x:c r="U129"/>
      <x:c r="V129"/>
      <x:c r="W129"/>
      <x:c r="X129"/>
      <x:c r="Y129"/>
      <x:c r="Z129"/>
      <x:c r="AA129"/>
    </x:row>
    <x:row r="130" ht="72" customHeight="1">
      <x:c r="A130"/>
      <x:c r="B130"/>
      <x:c r="C130"/>
      <x:c r="D130"/>
      <x:c r="E130"/>
      <x:c r="F130"/>
      <x:c r="G130"/>
      <x:c r="H130"/>
      <x:c r="I130"/>
      <x:c r="J130"/>
      <x:c r="K130"/>
      <x:c r="L130"/>
      <x:c r="M130"/>
      <x:c r="N130"/>
      <x:c r="O130"/>
      <x:c r="P130"/>
      <x:c r="Q130"/>
      <x:c r="R130"/>
      <x:c r="S130"/>
      <x:c r="T130"/>
      <x:c r="U130"/>
      <x:c r="V130"/>
      <x:c r="W130"/>
      <x:c r="X130"/>
      <x:c r="Y130"/>
      <x:c r="Z130"/>
      <x:c r="AA130"/>
    </x:row>
    <x:row r="131" ht="72" customHeight="1">
      <x:c r="A131"/>
      <x:c r="B131"/>
      <x:c r="C131"/>
      <x:c r="D131"/>
      <x:c r="E131"/>
      <x:c r="F131"/>
      <x:c r="G131"/>
      <x:c r="H131"/>
      <x:c r="I131"/>
      <x:c r="J131"/>
      <x:c r="K131"/>
      <x:c r="L131"/>
      <x:c r="M131"/>
      <x:c r="N131"/>
      <x:c r="O131"/>
      <x:c r="P131"/>
      <x:c r="Q131"/>
      <x:c r="R131"/>
      <x:c r="S131"/>
      <x:c r="T131"/>
      <x:c r="U131"/>
      <x:c r="V131"/>
      <x:c r="W131"/>
      <x:c r="X131"/>
      <x:c r="Y131"/>
      <x:c r="Z131"/>
      <x:c r="AA131"/>
    </x:row>
    <x:row r="132" ht="72" customHeight="1">
      <x:c r="A132"/>
      <x:c r="B132"/>
      <x:c r="C132"/>
      <x:c r="D132"/>
      <x:c r="E132"/>
      <x:c r="F132"/>
      <x:c r="G132"/>
      <x:c r="H132"/>
      <x:c r="I132"/>
      <x:c r="J132"/>
      <x:c r="K132"/>
      <x:c r="L132"/>
      <x:c r="M132"/>
      <x:c r="N132"/>
      <x:c r="O132"/>
      <x:c r="P132"/>
      <x:c r="Q132"/>
      <x:c r="R132"/>
      <x:c r="S132"/>
      <x:c r="T132"/>
      <x:c r="U132"/>
      <x:c r="V132"/>
      <x:c r="W132"/>
      <x:c r="X132"/>
      <x:c r="Y132"/>
      <x:c r="Z132"/>
      <x:c r="AA132"/>
    </x:row>
    <x:row r="133" ht="72" customHeight="1">
      <x:c r="A133"/>
      <x:c r="B133"/>
      <x:c r="C133"/>
      <x:c r="D133"/>
      <x:c r="E133"/>
      <x:c r="F133"/>
      <x:c r="G133"/>
      <x:c r="H133"/>
      <x:c r="I133"/>
      <x:c r="J133"/>
      <x:c r="K133"/>
      <x:c r="L133"/>
      <x:c r="M133"/>
      <x:c r="N133"/>
      <x:c r="O133"/>
      <x:c r="P133"/>
      <x:c r="Q133"/>
      <x:c r="R133"/>
      <x:c r="S133"/>
      <x:c r="T133"/>
      <x:c r="U133"/>
      <x:c r="V133"/>
      <x:c r="W133"/>
      <x:c r="X133"/>
      <x:c r="Y133"/>
      <x:c r="Z133"/>
      <x:c r="AA133"/>
    </x:row>
    <x:row r="134" ht="72" customHeight="1">
      <x:c r="A134"/>
      <x:c r="B134"/>
      <x:c r="C134"/>
      <x:c r="D134"/>
      <x:c r="E134"/>
      <x:c r="F134"/>
      <x:c r="G134"/>
      <x:c r="H134"/>
      <x:c r="I134"/>
      <x:c r="J134"/>
      <x:c r="K134"/>
      <x:c r="L134"/>
      <x:c r="M134"/>
      <x:c r="N134"/>
      <x:c r="O134"/>
      <x:c r="P134"/>
      <x:c r="Q134"/>
      <x:c r="R134"/>
      <x:c r="S134"/>
      <x:c r="T134"/>
      <x:c r="U134"/>
      <x:c r="V134"/>
      <x:c r="W134"/>
      <x:c r="X134"/>
      <x:c r="Y134"/>
      <x:c r="Z134"/>
      <x:c r="AA134"/>
    </x:row>
    <x:row r="135" ht="72" customHeight="1">
      <x:c r="A135"/>
      <x:c r="B135"/>
      <x:c r="C135"/>
      <x:c r="D135"/>
      <x:c r="E135"/>
      <x:c r="F135"/>
      <x:c r="G135"/>
      <x:c r="H135"/>
      <x:c r="I135"/>
      <x:c r="J135"/>
      <x:c r="K135"/>
      <x:c r="L135"/>
      <x:c r="M135"/>
      <x:c r="N135"/>
      <x:c r="O135"/>
      <x:c r="P135"/>
      <x:c r="Q135"/>
      <x:c r="R135"/>
      <x:c r="S135"/>
      <x:c r="T135"/>
      <x:c r="U135"/>
      <x:c r="V135"/>
      <x:c r="W135"/>
      <x:c r="X135"/>
      <x:c r="Y135"/>
      <x:c r="Z135"/>
      <x:c r="AA135"/>
    </x:row>
  </x:sheetData>
  <x:mergeCells>
    <x:mergeCell ref="A1:AA1"/>
    <x:mergeCell ref="A2:AA2"/>
  </x:mergeCells>
  <x:dataValidations count="17">
    <x:dataValidation type="list" sqref="G5:G74">
      <x:formula1>"Binary,Ordinal,Nominal categorical,Unipolar continuous,Bipolar continuous,Count,Frequency,Rate,Proportion,Duration,Magnitude / level,Time,Multidimensional,Other structured type"</x:formula1>
    </x:dataValidation>
    <x:dataValidation type="list" sqref="O5:O74">
      <x:formula1>"Very Low,Low,Moderate,High,Very High"</x:formula1>
    </x:dataValidation>
    <x:dataValidation type="list" sqref="P5:P74">
      <x:formula1>"Very Low,Low,Moderate,High,Very High"</x:formula1>
    </x:dataValidation>
    <x:dataValidation type="list" sqref="V5:V74">
      <x:formula1>"High,Moderate,Low"</x:formula1>
    </x:dataValidation>
    <x:dataValidation type="list" sqref="X5:X74">
      <x:formula1>"Strong,Moderate,Emerging,Mixed,Limited"</x:formula1>
    </x:dataValidation>
    <x:dataValidation type="list" sqref="D5:D135">
      <x:formula1>"Biological,Psychological,Social,Cultural,Physical / Environmental,Institutional / Structural,Informational,Technological"</x:formula1>
    </x:dataValidation>
    <x:dataValidation type="list" sqref="E5:E135">
      <x:formula1>'Families'!$B$5:$B$18</x:formula1>
    </x:dataValidation>
    <x:dataValidation type="list" sqref="G5:G135">
      <x:formula1>"Binary,Ordinal,Nominal categorical,Unipolar continuous,Bipolar continuous,Count,Frequency,Rate,Proportion,Duration,Magnitude / level,Time,Multidimensional,Other structured type"</x:formula1>
    </x:dataValidation>
    <x:dataValidation type="list" sqref="O5:P135">
      <x:formula1>"Very Low,Low,Moderate,High,Very High"</x:formula1>
    </x:dataValidation>
    <x:dataValidation type="list" sqref="V5:V135">
      <x:formula1>"High,Moderate,Low"</x:formula1>
    </x:dataValidation>
    <x:dataValidation type="list" sqref="X5:X135">
      <x:formula1>"Strong,Moderate,Emerging,Mixed,Limited"</x:formula1>
    </x:dataValidation>
    <x:dataValidation type="list" sqref="D5:D101">
      <x:formula1>"Biological,Psychological,Social,Cultural,Physical / Environmental,Institutional / Structural,Informational,Technological"</x:formula1>
    </x:dataValidation>
    <x:dataValidation type="list" sqref="E5:E101">
      <x:formula1>'Families'!$B$5:$B$16</x:formula1>
    </x:dataValidation>
    <x:dataValidation type="list" sqref="G5:G101">
      <x:formula1>"Binary,Ordinal,Nominal categorical,Unipolar continuous,Bipolar continuous,Count,Frequency,Rate,Proportion,Duration,Magnitude / level,Time,Multidimensional,Other structured type"</x:formula1>
    </x:dataValidation>
    <x:dataValidation type="list" sqref="O5:P101">
      <x:formula1>"Very Low,Low,Moderate,High,Very High"</x:formula1>
    </x:dataValidation>
    <x:dataValidation type="list" sqref="V5:V101">
      <x:formula1>"High,Moderate,Low"</x:formula1>
    </x:dataValidation>
    <x:dataValidation type="list" sqref="X5:X101">
      <x:formula1>"Strong,Moderate,Emerging,Mixed,Limited"</x:formula1>
    </x:dataValidation>
  </x:dataValidations>
  <x:pageMargins left="0.7" right="0.7" top="0.75" bottom="0.75" header="0.3" footer="0.3"/>
  <x:tableParts count="1">
    <x:tablePart xmlns:r="http://schemas.openxmlformats.org/officeDocument/2006/relationships" r:id="Rdf286767dba744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34" hidden="0" customWidth="1"/>
    <x:col min="4" max="4" width="54" hidden="0" customWidth="1"/>
    <x:col min="5" max="5" width="10" hidden="0" customWidth="1"/>
    <x:col min="6" max="6" width="30" hidden="0" customWidth="1"/>
    <x:col min="7" max="7" width="40" hidden="0" customWidth="1"/>
    <x:col min="8" max="8" width="50" hidden="0" customWidth="1"/>
    <x:col min="9" max="9" width="36" hidden="0" customWidth="1"/>
    <x:col min="10" max="10" width="46" hidden="0" customWidth="1"/>
    <x:col min="11" max="11" width="15" hidden="0" customWidth="1"/>
    <x:col min="12" max="12" width="40" hidden="0" customWidth="1"/>
    <x:col min="13" max="13" width="44" hidden="0" customWidth="1"/>
  </x:cols>
  <x:sheetData>
    <x:row r="1" ht="30" customHeight="1">
      <x:c r="A1" s="70" t="str">
        <x:v>PSYWERX Social Driver Ontology — Evidence Library</x:v>
      </x:c>
      <x:c r="B1" s="70"/>
      <x:c r="C1" s="70"/>
      <x:c r="D1" s="70"/>
      <x:c r="E1" s="70"/>
      <x:c r="F1" s="70"/>
      <x:c r="G1" s="70"/>
      <x:c r="H1" s="70"/>
      <x:c r="I1" s="70"/>
      <x:c r="J1" s="70"/>
      <x:c r="K1" s="70"/>
      <x:c r="L1" s="70"/>
      <x:c r="M1" s="70"/>
    </x:row>
    <x:row r="2" ht="46" customHeight="1">
      <x:c r="A2" s="73" t="str">
        <x:v>Representative authoritative, review, meta-analytic, experimental, network, methodological, and foundational sources linked by permanent IDs. This supports traceability and boundary decisions; it is not a complete bibliography or a newly conducted systematic review.</x:v>
      </x:c>
      <x:c r="B2" s="73"/>
      <x:c r="C2" s="73"/>
      <x:c r="D2" s="73"/>
      <x:c r="E2" s="73"/>
      <x:c r="F2" s="73"/>
      <x:c r="G2" s="73"/>
      <x:c r="H2" s="73"/>
      <x:c r="I2" s="73"/>
      <x:c r="J2" s="73"/>
      <x:c r="K2" s="73"/>
      <x:c r="L2" s="73"/>
      <x:c r="M2" s="73"/>
    </x:row>
    <x:row r="3" ht="8" customHeight="1">
      <x:c r="A3" s="43"/>
      <x:c r="B3" s="43"/>
      <x:c r="C3" s="43"/>
      <x:c r="D3" s="43"/>
      <x:c r="E3" s="43"/>
      <x:c r="F3" s="43"/>
      <x:c r="G3" s="43"/>
      <x:c r="H3" s="43"/>
      <x:c r="I3" s="43"/>
      <x:c r="J3" s="43"/>
      <x:c r="K3" s="43"/>
      <x:c r="L3" s="43"/>
      <x:c r="M3" s="43"/>
    </x:row>
    <x:row r="4" ht="48" customHeight="1">
      <x:c r="A4" s="76" t="str">
        <x:v>Evidence ID</x:v>
      </x:c>
      <x:c r="B4" s="76" t="str">
        <x:v>Linked Driver IDs</x:v>
      </x:c>
      <x:c r="C4" s="76" t="str">
        <x:v>Family / Domain</x:v>
      </x:c>
      <x:c r="D4" s="76" t="str">
        <x:v>Citation / Title</x:v>
      </x:c>
      <x:c r="E4" s="76" t="str">
        <x:v>Year</x:v>
      </x:c>
      <x:c r="F4" s="76" t="str">
        <x:v>Evidence Type</x:v>
      </x:c>
      <x:c r="G4" s="76" t="str">
        <x:v>Population</x:v>
      </x:c>
      <x:c r="H4" s="76" t="str">
        <x:v>Finding</x:v>
      </x:c>
      <x:c r="I4" s="76" t="str">
        <x:v>Direction / Effect</x:v>
      </x:c>
      <x:c r="J4" s="76" t="str">
        <x:v>Limitations</x:v>
      </x:c>
      <x:c r="K4" s="76" t="str">
        <x:v>Evidence Strength</x:v>
      </x:c>
      <x:c r="L4" s="76" t="str">
        <x:v>Source URL</x:v>
      </x:c>
      <x:c r="M4" s="76" t="str">
        <x:v>Verification Note</x:v>
      </x:c>
    </x:row>
    <x:row r="5" ht="72" customHeight="1">
      <x:c r="A5" s="43" t="str">
        <x:v>SRC208</x:v>
      </x:c>
      <x:c r="B5" s="43" t="str">
        <x:v>SOC-001; SOC-002; SOC-003; SOC-005</x:v>
      </x:c>
      <x:c r="C5" s="43" t="str">
        <x:v>Normative Climate &amp; Informal Enforcement</x:v>
      </x:c>
      <x:c r="D5" s="43" t="str">
        <x:v>Cialdini, R. B., Reno, R. R., &amp; Kallgren, C. A. (1990). A focus theory of normative conduct: Recycling the concept of norms to reduce littering in public places. Journal of Personality and Social Psychology, 58(6), 1015–1026.</x:v>
      </x:c>
      <x:c r="E5" s="43" t="n">
        <x:v>1990</x:v>
      </x:c>
      <x:c r="F5" s="43" t="str">
        <x:v>Experimental / field studies</x:v>
      </x:c>
      <x:c r="G5" s="43" t="str">
        <x:v>Primarily human participant samples in the cited research; consult the source for exact population, setting, network boundary, and sampling details.</x:v>
      </x:c>
      <x:c r="H5" s="43" t="str">
        <x:v>Descriptive vs. injunctive norms; norm salience. Foundational norm-mechanism paper.</x:v>
      </x:c>
      <x:c r="I5" s="43" t="str">
        <x:v>Construct- and relationship-specific; see the finding, limitations, and linked Relationships or migration records.</x:v>
      </x:c>
      <x:c r="J5" s="43" t="str">
        <x:v>Foundational norm-mechanism paper. The behavior, population, treatment, and observation window are specific; external validity and mechanism transfer require separate evaluation.</x:v>
      </x:c>
      <x:c r="K5" s="43" t="str">
        <x:v>Strong</x:v>
      </x:c>
      <x:c r="L5" s="43" t="str">
        <x:v>https://doi.org/10.1037/0022-3514.58.6.1015</x:v>
      </x:c>
      <x:c r="M5" s="43" t="str">
        <x:v>Preserved from the verified legacy Social source library and normalized during the 2026-08-26 Layer 3 reconstruction. This is representative evidence, not a new formal systematic-review extraction.</x:v>
      </x:c>
    </x:row>
    <x:row r="6" ht="72" customHeight="1">
      <x:c r="A6" s="43" t="str">
        <x:v>SRC209</x:v>
      </x:c>
      <x:c r="B6" s="43" t="str">
        <x:v>SOC-001; SOC-002; SOC-085</x:v>
      </x:c>
      <x:c r="C6" s="43" t="str">
        <x:v>Normative Climate &amp; Informal Enforcement; Audience &amp; Social Evaluation</x:v>
      </x:c>
      <x:c r="D6" s="43" t="str">
        <x:v>Schultz, P. W., Nolan, J. M., Cialdini, R. B., Goldstein, N. J., &amp; Griskevicius, V. (2007). The constructive, destructive, and reconstructive power of social norms. Psychological Science, 18(5), 429–434.</x:v>
      </x:c>
      <x:c r="E6" s="43" t="n">
        <x:v>2007</x:v>
      </x:c>
      <x:c r="F6" s="43" t="str">
        <x:v>Field experiment</x:v>
      </x:c>
      <x:c r="G6" s="43" t="str">
        <x:v>Primarily human participant samples in the cited research; consult the source for exact population, setting, network boundary, and sampling details.</x:v>
      </x:c>
      <x:c r="H6" s="43" t="str">
        <x:v>Descriptive norms; boomerang effects; injunctive correction. Shows context-dependent effects and boomerang risk.</x:v>
      </x:c>
      <x:c r="I6" s="43" t="str">
        <x:v>Construct- and relationship-specific; see the finding, limitations, and linked Relationships or migration records.</x:v>
      </x:c>
      <x:c r="J6" s="43" t="str">
        <x:v>Shows context-dependent effects and boomerang risk. The behavior, population, treatment, and observation window are specific; external validity and mechanism transfer require separate evaluation.</x:v>
      </x:c>
      <x:c r="K6" s="43" t="str">
        <x:v>Strong</x:v>
      </x:c>
      <x:c r="L6" s="43" t="str">
        <x:v>https://doi.org/10.1111/j.1467-9280.2007.01917.x</x:v>
      </x:c>
      <x:c r="M6" s="43" t="str">
        <x:v>Preserved from the verified legacy Social source library and normalized during the 2026-08-26 Layer 3 reconstruction. This is representative evidence, not a new formal systematic-review extraction.</x:v>
      </x:c>
    </x:row>
    <x:row r="7" ht="72" customHeight="1">
      <x:c r="A7" s="43" t="str">
        <x:v>SRC210</x:v>
      </x:c>
      <x:c r="B7" s="43" t="str">
        <x:v>SOC-001; SOC-005; SOC-014</x:v>
      </x:c>
      <x:c r="C7" s="43" t="str">
        <x:v>Normative Climate &amp; Informal Enforcement; Direct Social Influence Conditions</x:v>
      </x:c>
      <x:c r="D7" s="43" t="str">
        <x:v>Goldstein, N. J., Cialdini, R. B., &amp; Griskevicius, V. (2008). A room with a viewpoint: Using social norms to motivate environmental conservation in hotels. Journal of Consumer Research, 35(3), 472–482.</x:v>
      </x:c>
      <x:c r="E7" s="43" t="n">
        <x:v>2008</x:v>
      </x:c>
      <x:c r="F7" s="43" t="str">
        <x:v>Field experiments</x:v>
      </x:c>
      <x:c r="G7" s="43" t="str">
        <x:v>Primarily human participant samples in the cited research; consult the source for exact population, setting, network boundary, and sampling details.</x:v>
      </x:c>
      <x:c r="H7" s="43" t="str">
        <x:v>Reference-group proximity and descriptive norms. Useful applied field evidence; later replications are mixed on some details.</x:v>
      </x:c>
      <x:c r="I7" s="43" t="str">
        <x:v>Construct- and relationship-specific; see the finding, limitations, and linked Relationships or migration records.</x:v>
      </x:c>
      <x:c r="J7" s="43" t="str">
        <x:v>Useful applied field evidence; later replications are mixed on some details. The behavior, population, treatment, and observation window are specific; external validity and mechanism transfer require separate evaluation.</x:v>
      </x:c>
      <x:c r="K7" s="43" t="str">
        <x:v>Moderate</x:v>
      </x:c>
      <x:c r="L7" s="43" t="str">
        <x:v>https://doi.org/10.1086/586910</x:v>
      </x:c>
      <x:c r="M7" s="43" t="str">
        <x:v>Preserved from the verified legacy Social source library and normalized during the 2026-08-26 Layer 3 reconstruction. This is representative evidence, not a new formal systematic-review extraction.</x:v>
      </x:c>
    </x:row>
    <x:row r="8" ht="72" customHeight="1">
      <x:c r="A8" s="43" t="str">
        <x:v>SRC211</x:v>
      </x:c>
      <x:c r="B8" s="43" t="str">
        <x:v>SOC-004</x:v>
      </x:c>
      <x:c r="C8" s="43" t="str">
        <x:v>Normative Climate &amp; Informal Enforcement</x:v>
      </x:c>
      <x:c r="D8" s="43" t="str">
        <x:v>Sparkman, G., &amp; Walton, G. M. (2017). Dynamic norms promote sustainable behavior, even if it is counternormative. Psychological Science, 28(11), 1663–1674.</x:v>
      </x:c>
      <x:c r="E8" s="43" t="n">
        <x:v>2017</x:v>
      </x:c>
      <x:c r="F8" s="43" t="str">
        <x:v>Laboratory + field experiments</x:v>
      </x:c>
      <x:c r="G8" s="43" t="str">
        <x:v>Primarily human participant samples in the cited research; consult the source for exact population, setting, network boundary, and sampling details.</x:v>
      </x:c>
      <x:c r="H8" s="43" t="str">
        <x:v>Dynamic norms. Multiple experiments including field behavior.</x:v>
      </x:c>
      <x:c r="I8" s="43" t="str">
        <x:v>Construct- and relationship-specific; see the finding, limitations, and linked Relationships or migration records.</x:v>
      </x:c>
      <x:c r="J8" s="43" t="str">
        <x:v>Multiple experiments including field behavior. The behavior, population, treatment, and observation window are specific; external validity and mechanism transfer require separate evaluation.</x:v>
      </x:c>
      <x:c r="K8" s="43" t="str">
        <x:v>Moderate</x:v>
      </x:c>
      <x:c r="L8" s="43" t="str">
        <x:v>https://doi.org/10.1177/0956797617719950</x:v>
      </x:c>
      <x:c r="M8" s="43" t="str">
        <x:v>Preserved from the verified legacy Social source library and normalized during the 2026-08-26 Layer 3 reconstruction. This is representative evidence, not a new formal systematic-review extraction.</x:v>
      </x:c>
    </x:row>
    <x:row r="9" ht="72" customHeight="1">
      <x:c r="A9" s="43" t="str">
        <x:v>SRC212</x:v>
      </x:c>
      <x:c r="B9" s="43" t="str"/>
      <x:c r="C9" s="43" t="str">
        <x:v>Boundary / exclusion evidence</x:v>
      </x:c>
      <x:c r="D9" s="43" t="str">
        <x:v>Prentice, D. A., &amp; Miller, D. T. (1993). Pluralistic ignorance and alcohol use on campus: Some consequences of misperceiving the social norm. Journal of Personality and Social Psychology, 64(2), 243–256.</x:v>
      </x:c>
      <x:c r="E9" s="43" t="n">
        <x:v>1993</x:v>
      </x:c>
      <x:c r="F9" s="43" t="str">
        <x:v>Longitudinal / field evidence</x:v>
      </x:c>
      <x:c r="G9" s="43" t="str">
        <x:v>Primarily human participant samples in the cited research; consult the source for exact population, setting, network boundary, and sampling details.</x:v>
      </x:c>
      <x:c r="H9" s="43" t="str">
        <x:v>Norm misperception and pluralistic ignorance. Classic demonstration of perceived-norm error and attitude movement.</x:v>
      </x:c>
      <x:c r="I9" s="43" t="str">
        <x:v>Construct- and relationship-specific; see the finding, limitations, and linked Relationships or migration records.</x:v>
      </x:c>
      <x:c r="J9" s="43" t="str">
        <x:v>Classic demonstration of perceived-norm error and attitude movement. Interpret within the source's population, operationalization, network or group boundary, and design limitations.</x:v>
      </x:c>
      <x:c r="K9" s="43" t="str">
        <x:v>Moderate</x:v>
      </x:c>
      <x:c r="L9" s="43" t="str">
        <x:v>https://doi.org/10.1037/0022-3514.64.2.243</x:v>
      </x:c>
      <x:c r="M9" s="43" t="str">
        <x:v>Preserved from the verified legacy Social source library and normalized during the 2026-08-26 Layer 3 reconstruction. This is representative evidence, not a new formal systematic-review extraction.</x:v>
      </x:c>
    </x:row>
    <x:row r="10" ht="72" customHeight="1">
      <x:c r="A10" s="43" t="str">
        <x:v>SRC213</x:v>
      </x:c>
      <x:c r="B10" s="43" t="str">
        <x:v>SOC-003; SOC-009; SOC-010; SOC-069</x:v>
      </x:c>
      <x:c r="C10" s="43" t="str">
        <x:v>Normative Climate &amp; Informal Enforcement; Direct Social Influence Conditions; Group Composition, Cohesion &amp; Deliberation</x:v>
      </x:c>
      <x:c r="D10" s="43" t="str">
        <x:v>Bond, R., &amp; Smith, P. B. (1996). Culture and conformity: A meta-analysis of studies using Asch's line judgment task. Psychological Bulletin, 119(1), 111–137.</x:v>
      </x:c>
      <x:c r="E10" s="43" t="n">
        <x:v>1996</x:v>
      </x:c>
      <x:c r="F10" s="43" t="str">
        <x:v>Meta-analysis</x:v>
      </x:c>
      <x:c r="G10" s="43" t="str">
        <x:v>Populations represented in the included literature; countries, ages, settings, and sampling frames vary by source.</x:v>
      </x:c>
      <x:c r="H10" s="43" t="str">
        <x:v>Majority conformity; cultural moderation. 133 studies from 17 countries.</x:v>
      </x:c>
      <x:c r="I10" s="43" t="str">
        <x:v>Construct- and relationship-specific; see the finding, limitations, and linked Relationships or migration records.</x:v>
      </x:c>
      <x:c r="J10" s="43" t="str">
        <x:v>133 studies from 17 countries. Included constructs, populations, settings, measures, and designs are heterogeneous; pooled associations do not by themselves identify a universal causal effect.</x:v>
      </x:c>
      <x:c r="K10" s="43" t="str">
        <x:v>Strong</x:v>
      </x:c>
      <x:c r="L10" s="43" t="str">
        <x:v>https://doi.org/10.1037/0033-2909.119.1.111</x:v>
      </x:c>
      <x:c r="M10" s="43" t="str">
        <x:v>Preserved from the verified legacy Social source library and normalized during the 2026-08-26 Layer 3 reconstruction. This is representative evidence, not a new formal systematic-review extraction.</x:v>
      </x:c>
    </x:row>
    <x:row r="11" ht="72" customHeight="1">
      <x:c r="A11" s="43" t="str">
        <x:v>SRC214</x:v>
      </x:c>
      <x:c r="B11" s="43" t="str">
        <x:v>SOC-011; SOC-068; SOC-069</x:v>
      </x:c>
      <x:c r="C11" s="43" t="str">
        <x:v>Direct Social Influence Conditions; Group Composition, Cohesion &amp; Deliberation</x:v>
      </x:c>
      <x:c r="D11" s="43" t="str">
        <x:v>Wood, W., Lundgren, S., Ouellette, J. A., Busceme, S., &amp; Blackstone, T. (1994). Minority influence: A meta-analytic review of social influence processes. Psychological Bulletin, 115(3), 323–345.</x:v>
      </x:c>
      <x:c r="E11" s="43" t="n">
        <x:v>1994</x:v>
      </x:c>
      <x:c r="F11" s="43" t="str">
        <x:v>Meta-analysis</x:v>
      </x:c>
      <x:c r="G11" s="43" t="str">
        <x:v>Populations represented in the included literature; countries, ages, settings, and sampling frames vary by source.</x:v>
      </x:c>
      <x:c r="H11" s="43" t="str">
        <x:v>Minority influence; public/private influence. Meta-analysis of 97 experiments.</x:v>
      </x:c>
      <x:c r="I11" s="43" t="str">
        <x:v>Construct- and relationship-specific; see the finding, limitations, and linked Relationships or migration records.</x:v>
      </x:c>
      <x:c r="J11" s="43" t="str">
        <x:v>Meta-analysis of 97 experiments. Included constructs, populations, settings, measures, and designs are heterogeneous; pooled associations do not by themselves identify a universal causal effect.</x:v>
      </x:c>
      <x:c r="K11" s="43" t="str">
        <x:v>Strong</x:v>
      </x:c>
      <x:c r="L11" s="43" t="str">
        <x:v>https://doi.org/10.1037/0033-2909.115.3.323</x:v>
      </x:c>
      <x:c r="M11" s="43" t="str">
        <x:v>Preserved from the verified legacy Social source library and normalized during the 2026-08-26 Layer 3 reconstruction. This is representative evidence, not a new formal systematic-review extraction.</x:v>
      </x:c>
    </x:row>
    <x:row r="12" ht="72" customHeight="1">
      <x:c r="A12" s="43" t="str">
        <x:v>SRC215</x:v>
      </x:c>
      <x:c r="B12" s="43" t="str">
        <x:v>SOC-012; SOC-013</x:v>
      </x:c>
      <x:c r="C12" s="43" t="str">
        <x:v>Direct Social Influence Conditions</x:v>
      </x:c>
      <x:c r="D12" s="43" t="str">
        <x:v>Gardner, M., &amp; Steinberg, L. (2005). Peer influence on risk taking, risk preference, and risky decision making in adolescence and adulthood: An experimental study. Developmental Psychology, 41(4), 625–635.</x:v>
      </x:c>
      <x:c r="E12" s="43" t="n">
        <x:v>2005</x:v>
      </x:c>
      <x:c r="F12" s="43" t="str">
        <x:v>Randomized experiment</x:v>
      </x:c>
      <x:c r="G12" s="43" t="str">
        <x:v>Primarily human participant samples in the cited research; consult the source for exact population, setting, network boundary, and sampling details.</x:v>
      </x:c>
      <x:c r="H12" s="43" t="str">
        <x:v>Peer presence and risk taking. Peer effects were age-dependent.</x:v>
      </x:c>
      <x:c r="I12" s="43" t="str">
        <x:v>Construct- and relationship-specific; see the finding, limitations, and linked Relationships or migration records.</x:v>
      </x:c>
      <x:c r="J12" s="43" t="str">
        <x:v>Peer effects were age-dependent. The behavior, population, treatment, and observation window are specific; external validity and mechanism transfer require separate evaluation.</x:v>
      </x:c>
      <x:c r="K12" s="43" t="str">
        <x:v>Moderate</x:v>
      </x:c>
      <x:c r="L12" s="43" t="str">
        <x:v>https://doi.org/10.1037/0012-1649.41.4.625</x:v>
      </x:c>
      <x:c r="M12" s="43" t="str">
        <x:v>Preserved from the verified legacy Social source library and normalized during the 2026-08-26 Layer 3 reconstruction. This is representative evidence, not a new formal systematic-review extraction.</x:v>
      </x:c>
    </x:row>
    <x:row r="13" ht="72" customHeight="1">
      <x:c r="A13" s="43" t="str">
        <x:v>SRC216</x:v>
      </x:c>
      <x:c r="B13" s="43" t="str">
        <x:v>SOC-014; SOC-092; SOC-094; SOC-097</x:v>
      </x:c>
      <x:c r="C13" s="43" t="str">
        <x:v>Direct Social Influence Conditions; Intergroup Contact, Boundaries &amp; Competition</x:v>
      </x:c>
      <x:c r="D13" s="43" t="str">
        <x:v>Hornsey, M. J. (2008). Social identity theory and self-categorization theory: A historical review. Social and Personality Psychology Compass, 2(1), 204–222.</x:v>
      </x:c>
      <x:c r="E13" s="43" t="n">
        <x:v>2008</x:v>
      </x:c>
      <x:c r="F13" s="43" t="str">
        <x:v>Critical review</x:v>
      </x:c>
      <x:c r="G13" s="43" t="str">
        <x:v>Populations represented in the included literature; countries, ages, settings, and sampling frames vary by source.</x:v>
      </x:c>
      <x:c r="H13" s="43" t="str">
        <x:v>Social identity, self-categorization, intergroup influence. Useful integrative review with explicit theoretical boundaries.</x:v>
      </x:c>
      <x:c r="I13" s="43" t="str">
        <x:v>Construct- and relationship-specific; see the finding, limitations, and linked Relationships or migration records.</x:v>
      </x:c>
      <x:c r="J13" s="43" t="str">
        <x:v>Useful integrative review with explicit theoretical boundaries. A synthesis does not supply one context-free effect size, and the reviewed evidence varies in design and causal identification.</x:v>
      </x:c>
      <x:c r="K13" s="43" t="str">
        <x:v>Moderate</x:v>
      </x:c>
      <x:c r="L13" s="43" t="str">
        <x:v>https://doi.org/10.1111/j.1751-9004.2007.00066.x</x:v>
      </x:c>
      <x:c r="M13" s="43" t="str">
        <x:v>Preserved from the verified legacy Social source library and normalized during the 2026-08-26 Layer 3 reconstruction. This is representative evidence, not a new formal systematic-review extraction.</x:v>
      </x:c>
    </x:row>
    <x:row r="14" ht="72" customHeight="1">
      <x:c r="A14" s="43" t="str">
        <x:v>SRC217</x:v>
      </x:c>
      <x:c r="B14" s="43" t="str"/>
      <x:c r="C14" s="43" t="str">
        <x:v>Boundary / exclusion evidence</x:v>
      </x:c>
      <x:c r="D14" s="43" t="str">
        <x:v>Swann, W. B., Jr., Jetten, J., Gómez, Á., Whitehouse, H., &amp; Bastian, B. (2012). When group membership gets personal: A theory of identity fusion. Psychological Review, 119(3), 441–456.</x:v>
      </x:c>
      <x:c r="E14" s="43" t="n">
        <x:v>2012</x:v>
      </x:c>
      <x:c r="F14" s="43" t="str">
        <x:v>Theory + experimental/correlational evidence</x:v>
      </x:c>
      <x:c r="G14" s="43" t="str">
        <x:v>Primarily human participant samples in the cited research; consult the source for exact population, setting, network boundary, and sampling details.</x:v>
      </x:c>
      <x:c r="H14" s="43" t="str">
        <x:v>Identity fusion. Integrates personal and social identity pathways to extreme pro-group behavior.</x:v>
      </x:c>
      <x:c r="I14" s="43" t="str">
        <x:v>Construct- and relationship-specific; see the finding, limitations, and linked Relationships or migration records.</x:v>
      </x:c>
      <x:c r="J14" s="43" t="str">
        <x:v>Integrates personal and social identity pathways to extreme pro-group behavior. The behavior, population, treatment, and observation window are specific; external validity and mechanism transfer require separate evaluation.</x:v>
      </x:c>
      <x:c r="K14" s="43" t="str">
        <x:v>Moderate</x:v>
      </x:c>
      <x:c r="L14" s="43" t="str">
        <x:v>https://doi.org/10.1037/a0028589</x:v>
      </x:c>
      <x:c r="M14" s="43" t="str">
        <x:v>Preserved from the verified legacy Social source library and normalized during the 2026-08-26 Layer 3 reconstruction. This is representative evidence, not a new formal systematic-review extraction.</x:v>
      </x:c>
    </x:row>
    <x:row r="15" ht="72" customHeight="1">
      <x:c r="A15" s="43" t="str">
        <x:v>SRC218</x:v>
      </x:c>
      <x:c r="B15" s="43" t="str">
        <x:v>SOC-077</x:v>
      </x:c>
      <x:c r="C15" s="43" t="str">
        <x:v>Coordination, Accountability &amp; Collective Capacity</x:v>
      </x:c>
      <x:c r="D15" s="43" t="str">
        <x:v>van Zomeren, M., Postmes, T., &amp; Spears, R. (2008). Toward an integrative social identity model of collective action: A quantitative research synthesis of three socio-psychological perspectives. Psychological Bulletin, 134(4), 504–535.</x:v>
      </x:c>
      <x:c r="E15" s="43" t="n">
        <x:v>2008</x:v>
      </x:c>
      <x:c r="F15" s="43" t="str">
        <x:v>Meta-analysis</x:v>
      </x:c>
      <x:c r="G15" s="43" t="str">
        <x:v>Populations represented in the included literature; countries, ages, settings, and sampling frames vary by source.</x:v>
      </x:c>
      <x:c r="H15" s="43" t="str">
        <x:v>Identity, injustice, efficacy, collective action. Quantitative synthesis of collective-action evidence.</x:v>
      </x:c>
      <x:c r="I15" s="43" t="str">
        <x:v>Construct- and relationship-specific; see the finding, limitations, and linked Relationships or migration records.</x:v>
      </x:c>
      <x:c r="J15" s="43" t="str">
        <x:v>Quantitative synthesis of collective-action evidence. Included constructs, populations, settings, measures, and designs are heterogeneous; pooled associations do not by themselves identify a universal causal effect.</x:v>
      </x:c>
      <x:c r="K15" s="43" t="str">
        <x:v>Strong</x:v>
      </x:c>
      <x:c r="L15" s="43" t="str">
        <x:v>https://doi.org/10.1037/0033-2909.134.4.504</x:v>
      </x:c>
      <x:c r="M15" s="43" t="str">
        <x:v>Preserved from the verified legacy Social source library and normalized during the 2026-08-26 Layer 3 reconstruction. This is representative evidence, not a new formal systematic-review extraction.</x:v>
      </x:c>
    </x:row>
    <x:row r="16" ht="72" customHeight="1">
      <x:c r="A16" s="43" t="str">
        <x:v>SRC219</x:v>
      </x:c>
      <x:c r="B16" s="43" t="str"/>
      <x:c r="C16" s="43" t="str">
        <x:v>Boundary / exclusion evidence</x:v>
      </x:c>
      <x:c r="D16" s="43" t="str">
        <x:v>Baumeister, R. F., &amp; Leary, M. R. (1995). The need to belong: Desire for interpersonal attachments as a fundamental human motivation. Psychological Bulletin, 117(3), 497–529.</x:v>
      </x:c>
      <x:c r="E16" s="43" t="n">
        <x:v>1995</x:v>
      </x:c>
      <x:c r="F16" s="43" t="str">
        <x:v>Integrative review</x:v>
      </x:c>
      <x:c r="G16" s="43" t="str">
        <x:v>Populations represented in the included literature; countries, ages, settings, and sampling frames vary by source.</x:v>
      </x:c>
      <x:c r="H16" s="43" t="str">
        <x:v>Belongingness motivation. Foundational review of belonging as a broad human motive.</x:v>
      </x:c>
      <x:c r="I16" s="43" t="str">
        <x:v>Construct- and relationship-specific; see the finding, limitations, and linked Relationships or migration records.</x:v>
      </x:c>
      <x:c r="J16" s="43" t="str">
        <x:v>Foundational review of belonging as a broad human motive. A synthesis does not supply one context-free effect size, and the reviewed evidence varies in design and causal identification.</x:v>
      </x:c>
      <x:c r="K16" s="43" t="str">
        <x:v>Strong</x:v>
      </x:c>
      <x:c r="L16" s="43" t="str">
        <x:v>https://doi.org/10.1037/0033-2909.117.3.497</x:v>
      </x:c>
      <x:c r="M16" s="43" t="str">
        <x:v>Preserved from the verified legacy Social source library and normalized during the 2026-08-26 Layer 3 reconstruction. This is representative evidence, not a new formal systematic-review extraction.</x:v>
      </x:c>
    </x:row>
    <x:row r="17" ht="72" customHeight="1">
      <x:c r="A17" s="43" t="str">
        <x:v>SRC220</x:v>
      </x:c>
      <x:c r="B17" s="43" t="str">
        <x:v>SOC-023; SOC-030; SOC-031</x:v>
      </x:c>
      <x:c r="C17" s="43" t="str">
        <x:v>Interaction &amp; Relational Embeddedness; Inclusion, Support &amp; Social Integration</x:v>
      </x:c>
      <x:c r="D17" s="43" t="str">
        <x:v>Williams, K. D. (2007). Ostracism. Annual Review of Psychology, 58, 425–452.</x:v>
      </x:c>
      <x:c r="E17" s="43" t="n">
        <x:v>2007</x:v>
      </x:c>
      <x:c r="F17" s="43" t="str">
        <x:v>Annual review</x:v>
      </x:c>
      <x:c r="G17" s="43" t="str">
        <x:v>Populations represented in the included literature; countries, ages, settings, and sampling frames vary by source.</x:v>
      </x:c>
      <x:c r="H17" s="43" t="str">
        <x:v>Ostracism, rejection, exclusion. Reviews immediate and chronic responses to ostracism.</x:v>
      </x:c>
      <x:c r="I17" s="43" t="str">
        <x:v>Construct- and relationship-specific; see the finding, limitations, and linked Relationships or migration records.</x:v>
      </x:c>
      <x:c r="J17" s="43" t="str">
        <x:v>Reviews immediate and chronic responses to ostracism. A synthesis does not supply one context-free effect size, and the reviewed evidence varies in design and causal identification.</x:v>
      </x:c>
      <x:c r="K17" s="43" t="str">
        <x:v>Strong</x:v>
      </x:c>
      <x:c r="L17" s="43" t="str">
        <x:v>https://doi.org/10.1146/annurev.psych.58.110405.085641</x:v>
      </x:c>
      <x:c r="M17" s="43" t="str">
        <x:v>Preserved from the verified legacy Social source library and normalized during the 2026-08-26 Layer 3 reconstruction. This is representative evidence, not a new formal systematic-review extraction.</x:v>
      </x:c>
    </x:row>
    <x:row r="18" ht="72" customHeight="1">
      <x:c r="A18" s="43" t="str">
        <x:v>SRC221</x:v>
      </x:c>
      <x:c r="B18" s="43" t="str">
        <x:v>SOC-030; SOC-031</x:v>
      </x:c>
      <x:c r="C18" s="43" t="str">
        <x:v>Inclusion, Support &amp; Social Integration</x:v>
      </x:c>
      <x:c r="D18" s="43" t="str">
        <x:v>Hartgerink, C. H. J., van Beest, I., Wicherts, J. M., &amp; Williams, K. D. (2015). The ordinal effects of ostracism: A meta-analysis of 120 Cyberball studies. PLOS ONE, 10(5), e0127002.</x:v>
      </x:c>
      <x:c r="E18" s="43" t="n">
        <x:v>2015</x:v>
      </x:c>
      <x:c r="F18" s="43" t="str">
        <x:v>Meta-analysis</x:v>
      </x:c>
      <x:c r="G18" s="43" t="str">
        <x:v>Populations represented in the included literature; countries, ages, settings, and sampling frames vary by source.</x:v>
      </x:c>
      <x:c r="H18" s="43" t="str">
        <x:v>Experimental ostracism effects. Large synthesis of Cyberball studies.</x:v>
      </x:c>
      <x:c r="I18" s="43" t="str">
        <x:v>Construct- and relationship-specific; see the finding, limitations, and linked Relationships or migration records.</x:v>
      </x:c>
      <x:c r="J18" s="43" t="str">
        <x:v>Large synthesis of Cyberball studies. Included constructs, populations, settings, measures, and designs are heterogeneous; pooled associations do not by themselves identify a universal causal effect.</x:v>
      </x:c>
      <x:c r="K18" s="43" t="str">
        <x:v>Strong</x:v>
      </x:c>
      <x:c r="L18" s="43" t="str">
        <x:v>https://doi.org/10.1371/journal.pone.0127002</x:v>
      </x:c>
      <x:c r="M18" s="43" t="str">
        <x:v>Preserved from the verified legacy Social source library and normalized during the 2026-08-26 Layer 3 reconstruction. This is representative evidence, not a new formal systematic-review extraction.</x:v>
      </x:c>
    </x:row>
    <x:row r="19" ht="72" customHeight="1">
      <x:c r="A19" s="43" t="str">
        <x:v>SRC222</x:v>
      </x:c>
      <x:c r="B19" s="43" t="str">
        <x:v>SOC-016; SOC-017; SOC-024; SOC-025; SOC-026; SOC-027; SOC-028; SOC-029; SOC-032; SOC-037</x:v>
      </x:c>
      <x:c r="C19" s="43" t="str">
        <x:v>Interaction &amp; Relational Embeddedness; Inclusion, Support &amp; Social Integration; Cooperation, Reciprocity &amp; Mutual Dependence</x:v>
      </x:c>
      <x:c r="D19" s="43" t="str">
        <x:v>Holt-Lunstad, J., Smith, T. B., &amp; Layton, J. B. (2010). Social relationships and mortality risk: A meta-analytic review. PLOS Medicine, 7(7), e1000316.</x:v>
      </x:c>
      <x:c r="E19" s="43" t="n">
        <x:v>2010</x:v>
      </x:c>
      <x:c r="F19" s="43" t="str">
        <x:v>Meta-analysis</x:v>
      </x:c>
      <x:c r="G19" s="43" t="str">
        <x:v>Populations represented in the included literature; countries, ages, settings, and sampling frames vary by source.</x:v>
      </x:c>
      <x:c r="H19" s="43" t="str">
        <x:v>Social integration/support and health-relevant outcomes. 148 studies; strong association, but not a simple one-way causal estimate.</x:v>
      </x:c>
      <x:c r="I19" s="43" t="str">
        <x:v>Construct- and relationship-specific; see the finding, limitations, and linked Relationships or migration records.</x:v>
      </x:c>
      <x:c r="J19" s="43" t="str">
        <x:v>148 studies; strong association, but not a simple one-way causal estimate. Included constructs, populations, settings, measures, and designs are heterogeneous; pooled associations do not by themselves identify a universal causal effect.</x:v>
      </x:c>
      <x:c r="K19" s="43" t="str">
        <x:v>Strong</x:v>
      </x:c>
      <x:c r="L19" s="43" t="str">
        <x:v>https://doi.org/10.1371/journal.pmed.1000316</x:v>
      </x:c>
      <x:c r="M19" s="43" t="str">
        <x:v>Preserved from the verified legacy Social source library and normalized during the 2026-08-26 Layer 3 reconstruction. This is representative evidence, not a new formal systematic-review extraction.</x:v>
      </x:c>
    </x:row>
    <x:row r="20" ht="72" customHeight="1">
      <x:c r="A20" s="43" t="str">
        <x:v>SRC223</x:v>
      </x:c>
      <x:c r="B20" s="43" t="str">
        <x:v>SOC-018; SOC-022; SOC-033; SOC-034; SOC-036; SOC-093</x:v>
      </x:c>
      <x:c r="C20" s="43" t="str">
        <x:v>Interaction &amp; Relational Embeddedness; Cooperation, Reciprocity &amp; Mutual Dependence; Intergroup Contact, Boundaries &amp; Competition</x:v>
      </x:c>
      <x:c r="D20" s="43" t="str">
        <x:v>Balliet, D., &amp; Van Lange, P. A. M. (2013). Trust, conflict, and cooperation: A meta-analysis. Psychological Bulletin, 139(5), 1090–1112.</x:v>
      </x:c>
      <x:c r="E20" s="43" t="n">
        <x:v>2013</x:v>
      </x:c>
      <x:c r="F20" s="43" t="str">
        <x:v>Meta-analysis</x:v>
      </x:c>
      <x:c r="G20" s="43" t="str">
        <x:v>Populations represented in the included literature; countries, ages, settings, and sampling frames vary by source.</x:v>
      </x:c>
      <x:c r="H20" s="43" t="str">
        <x:v>Trust and cooperation. Trust-cooperation relationship is stronger under greater conflict of interest.</x:v>
      </x:c>
      <x:c r="I20" s="43" t="str">
        <x:v>Construct- and relationship-specific; see the finding, limitations, and linked Relationships or migration records.</x:v>
      </x:c>
      <x:c r="J20" s="43" t="str">
        <x:v>Trust-cooperation relationship is stronger under greater conflict of interest. Included constructs, populations, settings, measures, and designs are heterogeneous; pooled associations do not by themselves identify a universal causal effect.</x:v>
      </x:c>
      <x:c r="K20" s="43" t="str">
        <x:v>Strong</x:v>
      </x:c>
      <x:c r="L20" s="43" t="str">
        <x:v>https://doi.org/10.1037/a0030939</x:v>
      </x:c>
      <x:c r="M20" s="43" t="str">
        <x:v>Preserved from the verified legacy Social source library and normalized during the 2026-08-26 Layer 3 reconstruction. This is representative evidence, not a new formal systematic-review extraction.</x:v>
      </x:c>
    </x:row>
    <x:row r="21" ht="72" customHeight="1">
      <x:c r="A21" s="43" t="str">
        <x:v>SRC224</x:v>
      </x:c>
      <x:c r="B21" s="43" t="str">
        <x:v>SOC-008; SOC-020; SOC-035; SOC-036; SOC-037; SOC-038</x:v>
      </x:c>
      <x:c r="C21" s="43" t="str">
        <x:v>Normative Climate &amp; Informal Enforcement; Interaction &amp; Relational Embeddedness; Cooperation, Reciprocity &amp; Mutual Dependence</x:v>
      </x:c>
      <x:c r="D21" s="43" t="str">
        <x:v>Fehr, E., &amp; Gächter, S. (2000). Fairness and retaliation: The economics of reciprocity. Journal of Economic Perspectives, 14(3), 159–181.</x:v>
      </x:c>
      <x:c r="E21" s="43" t="n">
        <x:v>2000</x:v>
      </x:c>
      <x:c r="F21" s="43" t="str">
        <x:v>Review + experimental evidence</x:v>
      </x:c>
      <x:c r="G21" s="43" t="str">
        <x:v>Populations represented in the included literature; countries, ages, settings, and sampling frames vary by source.</x:v>
      </x:c>
      <x:c r="H21" s="43" t="str">
        <x:v>Reciprocity, fairness, cooperation. Integrative review of reciprocal behavior in economic settings.</x:v>
      </x:c>
      <x:c r="I21" s="43" t="str">
        <x:v>Construct- and relationship-specific; see the finding, limitations, and linked Relationships or migration records.</x:v>
      </x:c>
      <x:c r="J21" s="43" t="str">
        <x:v>Integrative review of reciprocal behavior in economic settings. The behavior, population, treatment, and observation window are specific; external validity and mechanism transfer require separate evaluation.</x:v>
      </x:c>
      <x:c r="K21" s="43" t="str">
        <x:v>Strong</x:v>
      </x:c>
      <x:c r="L21" s="43" t="str">
        <x:v>https://doi.org/10.1257/jep.14.3.159</x:v>
      </x:c>
      <x:c r="M21" s="43" t="str">
        <x:v>Preserved from the verified legacy Social source library and normalized during the 2026-08-26 Layer 3 reconstruction. This is representative evidence, not a new formal systematic-review extraction.</x:v>
      </x:c>
    </x:row>
    <x:row r="22" ht="72" customHeight="1">
      <x:c r="A22" s="43" t="str">
        <x:v>SRC225</x:v>
      </x:c>
      <x:c r="B22" s="43" t="str">
        <x:v>SOC-006; SOC-007; SOC-008; SOC-034; SOC-038; SOC-039</x:v>
      </x:c>
      <x:c r="C22" s="43" t="str">
        <x:v>Normative Climate &amp; Informal Enforcement; Cooperation, Reciprocity &amp; Mutual Dependence</x:v>
      </x:c>
      <x:c r="D22" s="43" t="str">
        <x:v>Fehr, E., Fischbacher, U., &amp; Gächter, S. (2002). Strong reciprocity, human cooperation, and the enforcement of social norms. Human Nature, 13, 1–25.</x:v>
      </x:c>
      <x:c r="E22" s="43" t="n">
        <x:v>2002</x:v>
      </x:c>
      <x:c r="F22" s="43" t="str">
        <x:v>Review + experiments</x:v>
      </x:c>
      <x:c r="G22" s="43" t="str">
        <x:v>Populations represented in the included literature; countries, ages, settings, and sampling frames vary by source.</x:v>
      </x:c>
      <x:c r="H22" s="43" t="str">
        <x:v>Strong reciprocity, norm enforcement. Experimental foundation for costly punishment and reciprocity.</x:v>
      </x:c>
      <x:c r="I22" s="43" t="str">
        <x:v>Construct- and relationship-specific; see the finding, limitations, and linked Relationships or migration records.</x:v>
      </x:c>
      <x:c r="J22" s="43" t="str">
        <x:v>Experimental foundation for costly punishment and reciprocity. The behavior, population, treatment, and observation window are specific; external validity and mechanism transfer require separate evaluation.</x:v>
      </x:c>
      <x:c r="K22" s="43" t="str">
        <x:v>Strong</x:v>
      </x:c>
      <x:c r="L22" s="43" t="str">
        <x:v>https://doi.org/10.1007/s12110-002-1012-7</x:v>
      </x:c>
      <x:c r="M22" s="43" t="str">
        <x:v>Preserved from the verified legacy Social source library and normalized during the 2026-08-26 Layer 3 reconstruction. This is representative evidence, not a new formal systematic-review extraction.</x:v>
      </x:c>
    </x:row>
    <x:row r="23" ht="72" customHeight="1">
      <x:c r="A23" s="43" t="str">
        <x:v>SRC226</x:v>
      </x:c>
      <x:c r="B23" s="43" t="str">
        <x:v>SOC-006; SOC-007; SOC-034; SOC-039; SOC-087</x:v>
      </x:c>
      <x:c r="C23" s="43" t="str">
        <x:v>Normative Climate &amp; Informal Enforcement; Cooperation, Reciprocity &amp; Mutual Dependence; Audience &amp; Social Evaluation</x:v>
      </x:c>
      <x:c r="D23" s="43" t="str">
        <x:v>Fehr, E., &amp; Gächter, S. (2000). Cooperation and punishment in public goods experiments. American Economic Review, 90(4), 980–994.</x:v>
      </x:c>
      <x:c r="E23" s="43" t="n">
        <x:v>2000</x:v>
      </x:c>
      <x:c r="F23" s="43" t="str">
        <x:v>Laboratory experiments</x:v>
      </x:c>
      <x:c r="G23" s="43" t="str">
        <x:v>Primarily human participant samples in the cited research; consult the source for exact population, setting, network boundary, and sampling details.</x:v>
      </x:c>
      <x:c r="H23" s="43" t="str">
        <x:v>Punishment and cooperation. Direct experimental evidence of punishment sustaining cooperation.</x:v>
      </x:c>
      <x:c r="I23" s="43" t="str">
        <x:v>Construct- and relationship-specific; see the finding, limitations, and linked Relationships or migration records.</x:v>
      </x:c>
      <x:c r="J23" s="43" t="str">
        <x:v>Direct experimental evidence of punishment sustaining cooperation. The behavior, population, treatment, and observation window are specific; external validity and mechanism transfer require separate evaluation.</x:v>
      </x:c>
      <x:c r="K23" s="43" t="str">
        <x:v>Strong</x:v>
      </x:c>
      <x:c r="L23" s="43" t="str">
        <x:v>https://doi.org/10.1257/aer.90.4.980</x:v>
      </x:c>
      <x:c r="M23" s="43" t="str">
        <x:v>Preserved from the verified legacy Social source library and normalized during the 2026-08-26 Layer 3 reconstruction. This is representative evidence, not a new formal systematic-review extraction.</x:v>
      </x:c>
    </x:row>
    <x:row r="24" ht="72" customHeight="1">
      <x:c r="A24" s="43" t="str">
        <x:v>SRC227</x:v>
      </x:c>
      <x:c r="B24" s="43" t="str">
        <x:v>SOC-015; SOC-040; SOC-042; SOC-045</x:v>
      </x:c>
      <x:c r="C24" s="43" t="str">
        <x:v>Direct Social Influence Conditions; Status, Reputation &amp; Relational Power</x:v>
      </x:c>
      <x:c r="D24" s="43" t="str">
        <x:v>Anderson, C., Hildreth, J. A. D., &amp; Howland, L. (2015). Is the desire for status a fundamental human motive? A review of the empirical literature. Psychological Bulletin, 141(3), 574–601.</x:v>
      </x:c>
      <x:c r="E24" s="43" t="n">
        <x:v>2015</x:v>
      </x:c>
      <x:c r="F24" s="43" t="str">
        <x:v>Comprehensive review</x:v>
      </x:c>
      <x:c r="G24" s="43" t="str">
        <x:v>Populations represented in the included literature; countries, ages, settings, and sampling frames vary by source.</x:v>
      </x:c>
      <x:c r="H24" s="43" t="str">
        <x:v>Status motive. Broad evidence review; status expression is context-dependent.</x:v>
      </x:c>
      <x:c r="I24" s="43" t="str">
        <x:v>Construct- and relationship-specific; see the finding, limitations, and linked Relationships or migration records.</x:v>
      </x:c>
      <x:c r="J24" s="43" t="str">
        <x:v>Broad evidence review; status expression is context-dependent. A synthesis does not supply one context-free effect size, and the reviewed evidence varies in design and causal identification.</x:v>
      </x:c>
      <x:c r="K24" s="43" t="str">
        <x:v>Strong</x:v>
      </x:c>
      <x:c r="L24" s="43" t="str">
        <x:v>https://doi.org/10.1037/a0038781</x:v>
      </x:c>
      <x:c r="M24" s="43" t="str">
        <x:v>Preserved from the verified legacy Social source library and normalized during the 2026-08-26 Layer 3 reconstruction. This is representative evidence, not a new formal systematic-review extraction.</x:v>
      </x:c>
    </x:row>
    <x:row r="25" ht="72" customHeight="1">
      <x:c r="A25" s="43" t="str">
        <x:v>SRC228</x:v>
      </x:c>
      <x:c r="B25" s="43" t="str">
        <x:v>SOC-015; SOC-040; SOC-041; SOC-042; SOC-043; SOC-045; SOC-046; SOC-047; SOC-048; SOC-093; SOC-096</x:v>
      </x:c>
      <x:c r="C25" s="43" t="str">
        <x:v>Direct Social Influence Conditions; Status, Reputation &amp; Relational Power; Intergroup Contact, Boundaries &amp; Competition</x:v>
      </x:c>
      <x:c r="D25" s="43" t="str">
        <x:v>Magee, J. C., &amp; Galinsky, A. D. (2008). Social hierarchy: The self-reinforcing nature of power and status. Academy of Management Annals, 2(1), 351–398.</x:v>
      </x:c>
      <x:c r="E25" s="43" t="n">
        <x:v>2008</x:v>
      </x:c>
      <x:c r="F25" s="43" t="str">
        <x:v>Integrative review</x:v>
      </x:c>
      <x:c r="G25" s="43" t="str">
        <x:v>Populations represented in the included literature; countries, ages, settings, and sampling frames vary by source.</x:v>
      </x:c>
      <x:c r="H25" s="43" t="str">
        <x:v>Power, status, hierarchy. Distinguishes power from status and reviews reinforcing mechanisms.</x:v>
      </x:c>
      <x:c r="I25" s="43" t="str">
        <x:v>Construct- and relationship-specific; see the finding, limitations, and linked Relationships or migration records.</x:v>
      </x:c>
      <x:c r="J25" s="43" t="str">
        <x:v>Distinguishes power from status and reviews reinforcing mechanisms. A synthesis does not supply one context-free effect size, and the reviewed evidence varies in design and causal identification.</x:v>
      </x:c>
      <x:c r="K25" s="43" t="str">
        <x:v>Strong</x:v>
      </x:c>
      <x:c r="L25" s="43" t="str">
        <x:v>https://doi.org/10.1080/19416520802211628</x:v>
      </x:c>
      <x:c r="M25" s="43" t="str">
        <x:v>Preserved from the verified legacy Social source library and normalized during the 2026-08-26 Layer 3 reconstruction. This is representative evidence, not a new formal systematic-review extraction.</x:v>
      </x:c>
    </x:row>
    <x:row r="26" ht="72" customHeight="1">
      <x:c r="A26" s="43" t="str">
        <x:v>SRC229</x:v>
      </x:c>
      <x:c r="B26" s="43" t="str">
        <x:v>SOC-079; SOC-080; SOC-081; SOC-082; SOC-083; SOC-084; SOC-085; SOC-086; SOC-087</x:v>
      </x:c>
      <x:c r="C26" s="43" t="str">
        <x:v>Coordination, Accountability &amp; Collective Capacity; Audience &amp; Social Evaluation</x:v>
      </x:c>
      <x:c r="D26" s="43" t="str">
        <x:v>Lerner, J. S., &amp; Tetlock, P. E. (1999). Accounting for the effects of accountability. Psychological Bulletin, 125(2), 255–275.</x:v>
      </x:c>
      <x:c r="E26" s="43" t="n">
        <x:v>1999</x:v>
      </x:c>
      <x:c r="F26" s="43" t="str">
        <x:v>Review</x:v>
      </x:c>
      <x:c r="G26" s="43" t="str">
        <x:v>Populations represented in the included literature; countries, ages, settings, and sampling frames vary by source.</x:v>
      </x:c>
      <x:c r="H26" s="43" t="str">
        <x:v>Accountability, observability, social evaluation. Effects depend strongly on accountability ground rules.</x:v>
      </x:c>
      <x:c r="I26" s="43" t="str">
        <x:v>Construct- and relationship-specific; see the finding, limitations, and linked Relationships or migration records.</x:v>
      </x:c>
      <x:c r="J26" s="43" t="str">
        <x:v>Effects depend strongly on accountability ground rules. A synthesis does not supply one context-free effect size, and the reviewed evidence varies in design and causal identification.</x:v>
      </x:c>
      <x:c r="K26" s="43" t="str">
        <x:v>Strong</x:v>
      </x:c>
      <x:c r="L26" s="43" t="str">
        <x:v>https://doi.org/10.1037/0033-2909.125.2.255</x:v>
      </x:c>
      <x:c r="M26" s="43" t="str">
        <x:v>Preserved from the verified legacy Social source library and normalized during the 2026-08-26 Layer 3 reconstruction. This is representative evidence, not a new formal systematic-review extraction.</x:v>
      </x:c>
    </x:row>
    <x:row r="27" ht="72" customHeight="1">
      <x:c r="A27" s="43" t="str">
        <x:v>SRC230</x:v>
      </x:c>
      <x:c r="B27" s="43" t="str">
        <x:v>SOC-048</x:v>
      </x:c>
      <x:c r="C27" s="43" t="str">
        <x:v>Status, Reputation &amp; Relational Power</x:v>
      </x:c>
      <x:c r="D27" s="43" t="str">
        <x:v>Burger, J. M. (2009). Replicating Milgram: Would people still obey today? American Psychologist, 64(1), 1–11.</x:v>
      </x:c>
      <x:c r="E27" s="43" t="n">
        <x:v>2009</x:v>
      </x:c>
      <x:c r="F27" s="43" t="str">
        <x:v>Partial replication experiment</x:v>
      </x:c>
      <x:c r="G27" s="43" t="str">
        <x:v>Primarily human participant samples in the cited research; consult the source for exact population, setting, network boundary, and sampling details.</x:v>
      </x:c>
      <x:c r="H27" s="43" t="str">
        <x:v>Authority and obedience. Ethically constrained partial replication; not a general population estimate of obedience.</x:v>
      </x:c>
      <x:c r="I27" s="43" t="str">
        <x:v>Construct- and relationship-specific; see the finding, limitations, and linked Relationships or migration records.</x:v>
      </x:c>
      <x:c r="J27" s="43" t="str">
        <x:v>Ethically constrained partial replication; not a general population estimate of obedience. The behavior, population, treatment, and observation window are specific; external validity and mechanism transfer require separate evaluation.</x:v>
      </x:c>
      <x:c r="K27" s="43" t="str">
        <x:v>Moderate</x:v>
      </x:c>
      <x:c r="L27" s="43" t="str">
        <x:v>https://doi.org/10.1037/a0010932</x:v>
      </x:c>
      <x:c r="M27" s="43" t="str">
        <x:v>Preserved from the verified legacy Social source library and normalized during the 2026-08-26 Layer 3 reconstruction. This is representative evidence, not a new formal systematic-review extraction.</x:v>
      </x:c>
    </x:row>
    <x:row r="28" ht="72" customHeight="1">
      <x:c r="A28" s="43" t="str">
        <x:v>SRC231</x:v>
      </x:c>
      <x:c r="B28" s="43" t="str"/>
      <x:c r="C28" s="43" t="str">
        <x:v>Boundary / exclusion evidence</x:v>
      </x:c>
      <x:c r="D28" s="43" t="str">
        <x:v>Buunk, A. P., &amp; Gibbons, F. X. (2007). Social comparison: The end of a theory and the emergence of a field. Organizational Behavior and Human Decision Processes, 102(1), 3–21.</x:v>
      </x:c>
      <x:c r="E28" s="43" t="n">
        <x:v>2007</x:v>
      </x:c>
      <x:c r="F28" s="43" t="str">
        <x:v>Review</x:v>
      </x:c>
      <x:c r="G28" s="43" t="str">
        <x:v>Populations represented in the included literature; countries, ages, settings, and sampling frames vary by source.</x:v>
      </x:c>
      <x:c r="H28" s="43" t="str">
        <x:v>Social comparison processes. Reviews upward, downward, and lateral comparison and moderators.</x:v>
      </x:c>
      <x:c r="I28" s="43" t="str">
        <x:v>Construct- and relationship-specific; see the finding, limitations, and linked Relationships or migration records.</x:v>
      </x:c>
      <x:c r="J28" s="43" t="str">
        <x:v>Reviews upward, downward, and lateral comparison and moderators. A synthesis does not supply one context-free effect size, and the reviewed evidence varies in design and causal identification.</x:v>
      </x:c>
      <x:c r="K28" s="43" t="str">
        <x:v>Moderate</x:v>
      </x:c>
      <x:c r="L28" s="43" t="str">
        <x:v>https://doi.org/10.1016/j.obhdp.2006.09.007</x:v>
      </x:c>
      <x:c r="M28" s="43" t="str">
        <x:v>Preserved from the verified legacy Social source library and normalized during the 2026-08-26 Layer 3 reconstruction. This is representative evidence, not a new formal systematic-review extraction.</x:v>
      </x:c>
    </x:row>
    <x:row r="29" ht="72" customHeight="1">
      <x:c r="A29" s="43" t="str">
        <x:v>SRC232</x:v>
      </x:c>
      <x:c r="B29" s="43" t="str"/>
      <x:c r="C29" s="43" t="str">
        <x:v>Boundary / exclusion evidence</x:v>
      </x:c>
      <x:c r="D29" s="43" t="str">
        <x:v>Smith, H. J., Pettigrew, T. F., Pippin, G. M., &amp; Bialosiewicz, S. (2012). Relative deprivation: A theoretical and meta-analytic review. Personality and Social Psychology Review, 16(3), 203–232.</x:v>
      </x:c>
      <x:c r="E29" s="43" t="n">
        <x:v>2012</x:v>
      </x:c>
      <x:c r="F29" s="43" t="str">
        <x:v>Meta-analysis</x:v>
      </x:c>
      <x:c r="G29" s="43" t="str">
        <x:v>Populations represented in the included literature; countries, ages, settings, and sampling frames vary by source.</x:v>
      </x:c>
      <x:c r="H29" s="43" t="str">
        <x:v>Relative deprivation. 210 studies; effect strength depends on construct quality and level matching.</x:v>
      </x:c>
      <x:c r="I29" s="43" t="str">
        <x:v>Construct- and relationship-specific; see the finding, limitations, and linked Relationships or migration records.</x:v>
      </x:c>
      <x:c r="J29" s="43" t="str">
        <x:v>210 studies; effect strength depends on construct quality and level matching. Included constructs, populations, settings, measures, and designs are heterogeneous; pooled associations do not by themselves identify a universal causal effect.</x:v>
      </x:c>
      <x:c r="K29" s="43" t="str">
        <x:v>Strong</x:v>
      </x:c>
      <x:c r="L29" s="43" t="str">
        <x:v>https://doi.org/10.1177/1088868311430825</x:v>
      </x:c>
      <x:c r="M29" s="43" t="str">
        <x:v>Preserved from the verified legacy Social source library and normalized during the 2026-08-26 Layer 3 reconstruction. This is representative evidence, not a new formal systematic-review extraction.</x:v>
      </x:c>
    </x:row>
    <x:row r="30" ht="72" customHeight="1">
      <x:c r="A30" s="43" t="str">
        <x:v>SRC233</x:v>
      </x:c>
      <x:c r="B30" s="43" t="str">
        <x:v>SOC-049; SOC-054; SOC-057; SOC-072; SOC-095; SOC-097</x:v>
      </x:c>
      <x:c r="C30" s="43" t="str">
        <x:v>Network Structure &amp; Position; Group Composition, Cohesion &amp; Deliberation; Intergroup Contact, Boundaries &amp; Competition</x:v>
      </x:c>
      <x:c r="D30" s="43" t="str">
        <x:v>McPherson, M., Smith-Lovin, L., &amp; Cook, J. M. (2001). Birds of a feather: Homophily in social networks. Annual Review of Sociology, 27, 415–444.</x:v>
      </x:c>
      <x:c r="E30" s="43" t="n">
        <x:v>2001</x:v>
      </x:c>
      <x:c r="F30" s="43" t="str">
        <x:v>Annual review</x:v>
      </x:c>
      <x:c r="G30" s="43" t="str">
        <x:v>Populations represented in the included literature; countries, ages, settings, and sampling frames vary by source.</x:v>
      </x:c>
      <x:c r="H30" s="43" t="str">
        <x:v>Homophily and network composition. Strong descriptive evidence; homophily complicates causal inference about influence.</x:v>
      </x:c>
      <x:c r="I30" s="43" t="str">
        <x:v>Construct- and relationship-specific; see the finding, limitations, and linked Relationships or migration records.</x:v>
      </x:c>
      <x:c r="J30" s="43" t="str">
        <x:v>Strong descriptive evidence; homophily complicates causal inference about influence. A synthesis does not supply one context-free effect size, and the reviewed evidence varies in design and causal identification.</x:v>
      </x:c>
      <x:c r="K30" s="43" t="str">
        <x:v>Strong</x:v>
      </x:c>
      <x:c r="L30" s="43" t="str">
        <x:v>https://doi.org/10.1146/annurev.soc.27.1.415</x:v>
      </x:c>
      <x:c r="M30" s="43" t="str">
        <x:v>Preserved from the verified legacy Social source library and normalized during the 2026-08-26 Layer 3 reconstruction. This is representative evidence, not a new formal systematic-review extraction.</x:v>
      </x:c>
    </x:row>
    <x:row r="31" ht="72" customHeight="1">
      <x:c r="A31" s="43" t="str">
        <x:v>SRC234</x:v>
      </x:c>
      <x:c r="B31" s="43" t="str">
        <x:v>SOC-016; SOC-018; SOC-019; SOC-021; SOC-022; SOC-050; SOC-055; SOC-056; SOC-063; SOC-095</x:v>
      </x:c>
      <x:c r="C31" s="43" t="str">
        <x:v>Interaction &amp; Relational Embeddedness; Network Structure &amp; Position; Network Exposure &amp; Social Diffusion; Intergroup Contact, Boundaries &amp; Competition</x:v>
      </x:c>
      <x:c r="D31" s="43" t="str">
        <x:v>Granovetter, M. S. (1973). The strength of weak ties. American Journal of Sociology, 78(6), 1360–1380.</x:v>
      </x:c>
      <x:c r="E31" s="43" t="n">
        <x:v>1973</x:v>
      </x:c>
      <x:c r="F31" s="43" t="str">
        <x:v>Theory + empirical synthesis</x:v>
      </x:c>
      <x:c r="G31" s="43" t="str">
        <x:v>Primarily human participant samples in the cited research; consult the source for exact population, setting, network boundary, and sampling details.</x:v>
      </x:c>
      <x:c r="H31" s="43" t="str">
        <x:v>Weak ties, bridging, diffusion. Foundational network theory on information reach and bridging.</x:v>
      </x:c>
      <x:c r="I31" s="43" t="str">
        <x:v>Construct- and relationship-specific; see the finding, limitations, and linked Relationships or migration records.</x:v>
      </x:c>
      <x:c r="J31" s="43" t="str">
        <x:v>Foundational network theory on information reach and bridging. Interpret within the source's population, operationalization, network or group boundary, and design limitations.</x:v>
      </x:c>
      <x:c r="K31" s="43" t="str">
        <x:v>Moderate</x:v>
      </x:c>
      <x:c r="L31" s="43" t="str">
        <x:v>https://doi.org/10.1086/225469</x:v>
      </x:c>
      <x:c r="M31" s="43" t="str">
        <x:v>Preserved from the verified legacy Social source library and normalized during the 2026-08-26 Layer 3 reconstruction. This is representative evidence, not a new formal systematic-review extraction.</x:v>
      </x:c>
    </x:row>
    <x:row r="32" ht="72" customHeight="1">
      <x:c r="A32" s="43" t="str">
        <x:v>SRC235</x:v>
      </x:c>
      <x:c r="B32" s="43" t="str">
        <x:v>SOC-052; SOC-053; SOC-058; SOC-059; SOC-060; SOC-061</x:v>
      </x:c>
      <x:c r="C32" s="43" t="str">
        <x:v>Network Structure &amp; Position; Network Exposure &amp; Social Diffusion</x:v>
      </x:c>
      <x:c r="D32" s="43" t="str">
        <x:v>Centola, D. (2010). The spread of behavior in an online social network experiment. Science, 329(5996), 1194–1197.</x:v>
      </x:c>
      <x:c r="E32" s="43" t="n">
        <x:v>2010</x:v>
      </x:c>
      <x:c r="F32" s="43" t="str">
        <x:v>Randomized network experiment</x:v>
      </x:c>
      <x:c r="G32" s="43" t="str">
        <x:v>Primarily human participant samples in the cited research; consult the source for exact population, setting, network boundary, and sampling details.</x:v>
      </x:c>
      <x:c r="H32" s="43" t="str">
        <x:v>Clustering, social reinforcement, complex contagion. Direct causal evidence that network topology affects behavioral diffusion.</x:v>
      </x:c>
      <x:c r="I32" s="43" t="str">
        <x:v>Construct- and relationship-specific; see the finding, limitations, and linked Relationships or migration records.</x:v>
      </x:c>
      <x:c r="J32" s="43" t="str">
        <x:v>Direct causal evidence that network topology affects behavioral diffusion. The behavior, population, treatment, and observation window are specific; external validity and mechanism transfer require separate evaluation.</x:v>
      </x:c>
      <x:c r="K32" s="43" t="str">
        <x:v>Strong</x:v>
      </x:c>
      <x:c r="L32" s="43" t="str">
        <x:v>https://doi.org/10.1126/science.1185231</x:v>
      </x:c>
      <x:c r="M32" s="43" t="str">
        <x:v>Preserved from the verified legacy Social source library and normalized during the 2026-08-26 Layer 3 reconstruction. This is representative evidence, not a new formal systematic-review extraction.</x:v>
      </x:c>
    </x:row>
    <x:row r="33" ht="72" customHeight="1">
      <x:c r="A33" s="43" t="str">
        <x:v>SRC236</x:v>
      </x:c>
      <x:c r="B33" s="43" t="str">
        <x:v>SOC-013; SOC-051; SOC-058; SOC-059; SOC-060; SOC-062</x:v>
      </x:c>
      <x:c r="C33" s="43" t="str">
        <x:v>Direct Social Influence Conditions; Network Structure &amp; Position; Network Exposure &amp; Social Diffusion</x:v>
      </x:c>
      <x:c r="D33" s="43" t="str">
        <x:v>Aral, S., &amp; Walker, D. (2012). Identifying influential and susceptible members of social networks. Science, 337(6092), 337–341.</x:v>
      </x:c>
      <x:c r="E33" s="43" t="n">
        <x:v>2012</x:v>
      </x:c>
      <x:c r="F33" s="43" t="str">
        <x:v>Large-scale randomized experiment</x:v>
      </x:c>
      <x:c r="G33" s="43" t="str">
        <x:v>Primarily human participant samples in the cited research; consult the source for exact population, setting, network boundary, and sampling details.</x:v>
      </x:c>
      <x:c r="H33" s="43" t="str">
        <x:v>Influence, susceptibility, network position. Uses randomized experimentation to separate influence from selection.</x:v>
      </x:c>
      <x:c r="I33" s="43" t="str">
        <x:v>Construct- and relationship-specific; see the finding, limitations, and linked Relationships or migration records.</x:v>
      </x:c>
      <x:c r="J33" s="43" t="str">
        <x:v>Uses randomized experimentation to separate influence from selection. The behavior, population, treatment, and observation window are specific; external validity and mechanism transfer require separate evaluation.</x:v>
      </x:c>
      <x:c r="K33" s="43" t="str">
        <x:v>Strong</x:v>
      </x:c>
      <x:c r="L33" s="43" t="str">
        <x:v>https://doi.org/10.1126/science.1215842</x:v>
      </x:c>
      <x:c r="M33" s="43" t="str">
        <x:v>Preserved from the verified legacy Social source library and normalized during the 2026-08-26 Layer 3 reconstruction. This is representative evidence, not a new formal systematic-review extraction.</x:v>
      </x:c>
    </x:row>
    <x:row r="34" ht="72" customHeight="1">
      <x:c r="A34" s="43" t="str">
        <x:v>SRC237</x:v>
      </x:c>
      <x:c r="B34" s="43" t="str">
        <x:v>SOC-013; SOC-019; SOC-056; SOC-058; SOC-059; SOC-062; SOC-063; SOC-076</x:v>
      </x:c>
      <x:c r="C34" s="43" t="str">
        <x:v>Direct Social Influence Conditions; Interaction &amp; Relational Embeddedness; Network Structure &amp; Position; Network Exposure &amp; Social Diffusion; Coordination, Accountability &amp; Collective Capacity</x:v>
      </x:c>
      <x:c r="D34" s="43" t="str">
        <x:v>Bond, R. M., Fariss, C. J., Jones, J. J., Kramer, A. D. I., Marlow, C., Settle, J. E., &amp; Fowler, J. H. (2012). A 61-million-person experiment in social influence and political mobilization. Nature, 489, 295–298.</x:v>
      </x:c>
      <x:c r="E34" s="43" t="n">
        <x:v>2012</x:v>
      </x:c>
      <x:c r="F34" s="43" t="str">
        <x:v>Massive randomized field experiment</x:v>
      </x:c>
      <x:c r="G34" s="43" t="str">
        <x:v>Primarily human participant samples in the cited research; consult the source for exact population, setting, network boundary, and sampling details.</x:v>
      </x:c>
      <x:c r="H34" s="43" t="str">
        <x:v>Social transmission, close ties, mobilization. Direct and network-mediated effects on online and offline behavior.</x:v>
      </x:c>
      <x:c r="I34" s="43" t="str">
        <x:v>Construct- and relationship-specific; see the finding, limitations, and linked Relationships or migration records.</x:v>
      </x:c>
      <x:c r="J34" s="43" t="str">
        <x:v>Direct and network-mediated effects on online and offline behavior. The behavior, population, treatment, and observation window are specific; external validity and mechanism transfer require separate evaluation.</x:v>
      </x:c>
      <x:c r="K34" s="43" t="str">
        <x:v>Strong</x:v>
      </x:c>
      <x:c r="L34" s="43" t="str">
        <x:v>https://doi.org/10.1038/nature11421</x:v>
      </x:c>
      <x:c r="M34" s="43" t="str">
        <x:v>Preserved from the verified legacy Social source library and normalized during the 2026-08-26 Layer 3 reconstruction. This is representative evidence, not a new formal systematic-review extraction.</x:v>
      </x:c>
    </x:row>
    <x:row r="35" ht="72" customHeight="1">
      <x:c r="A35" s="43" t="str">
        <x:v>SRC238</x:v>
      </x:c>
      <x:c r="B35" s="43" t="str">
        <x:v>SOC-074; SOC-076; SOC-077</x:v>
      </x:c>
      <x:c r="C35" s="43" t="str">
        <x:v>Coordination, Accountability &amp; Collective Capacity</x:v>
      </x:c>
      <x:c r="D35" s="43" t="str">
        <x:v>Bandura, A. (2000). Exercise of human agency through collective efficacy. Current Directions in Psychological Science, 9(3), 75–78.</x:v>
      </x:c>
      <x:c r="E35" s="43" t="n">
        <x:v>2000</x:v>
      </x:c>
      <x:c r="F35" s="43" t="str">
        <x:v>Theory + evidence review</x:v>
      </x:c>
      <x:c r="G35" s="43" t="str">
        <x:v>Populations represented in the included literature; countries, ages, settings, and sampling frames vary by source.</x:v>
      </x:c>
      <x:c r="H35" s="43" t="str">
        <x:v>Collective efficacy. Concise theoretical synthesis of shared efficacy and collective action.</x:v>
      </x:c>
      <x:c r="I35" s="43" t="str">
        <x:v>Construct- and relationship-specific; see the finding, limitations, and linked Relationships or migration records.</x:v>
      </x:c>
      <x:c r="J35" s="43" t="str">
        <x:v>Concise theoretical synthesis of shared efficacy and collective action. A synthesis does not supply one context-free effect size, and the reviewed evidence varies in design and causal identification.</x:v>
      </x:c>
      <x:c r="K35" s="43" t="str">
        <x:v>Moderate</x:v>
      </x:c>
      <x:c r="L35" s="43" t="str">
        <x:v>https://doi.org/10.1111/1467-8721.00064</x:v>
      </x:c>
      <x:c r="M35" s="43" t="str">
        <x:v>Preserved from the verified legacy Social source library and normalized during the 2026-08-26 Layer 3 reconstruction. This is representative evidence, not a new formal systematic-review extraction.</x:v>
      </x:c>
    </x:row>
    <x:row r="36" ht="72" customHeight="1">
      <x:c r="A36" s="43" t="str">
        <x:v>SRC239</x:v>
      </x:c>
      <x:c r="B36" s="43" t="str">
        <x:v>SOC-064; SOC-080; SOC-082; SOC-083</x:v>
      </x:c>
      <x:c r="C36" s="43" t="str">
        <x:v>Group Composition, Cohesion &amp; Deliberation; Coordination, Accountability &amp; Collective Capacity; Audience &amp; Social Evaluation</x:v>
      </x:c>
      <x:c r="D36" s="43" t="str">
        <x:v>Fischer, P., Krueger, J. I., Greitemeyer, T., Vogrincic, C., Kastenmüller, A., Frey, D., Heene, M., Wicher, M., &amp; Kainbacher, M. (2011). The bystander-effect: A meta-analytic review on bystander intervention in dangerous and non-dangerous emergencies. Psychological Bulletin, 137(4), 517–537.</x:v>
      </x:c>
      <x:c r="E36" s="43" t="n">
        <x:v>2011</x:v>
      </x:c>
      <x:c r="F36" s="43" t="str">
        <x:v>Meta-analysis</x:v>
      </x:c>
      <x:c r="G36" s="43" t="str">
        <x:v>Populations represented in the included literature; countries, ages, settings, and sampling frames vary by source.</x:v>
      </x:c>
      <x:c r="H36" s="43" t="str">
        <x:v>Bystander effect; diffusion of responsibility. Confirms a robust bystander effect with important moderators and exceptions.</x:v>
      </x:c>
      <x:c r="I36" s="43" t="str">
        <x:v>Construct- and relationship-specific; see the finding, limitations, and linked Relationships or migration records.</x:v>
      </x:c>
      <x:c r="J36" s="43" t="str">
        <x:v>Confirms a robust bystander effect with important moderators and exceptions. Included constructs, populations, settings, measures, and designs are heterogeneous; pooled associations do not by themselves identify a universal causal effect.</x:v>
      </x:c>
      <x:c r="K36" s="43" t="str">
        <x:v>Strong</x:v>
      </x:c>
      <x:c r="L36" s="43" t="str">
        <x:v>https://doi.org/10.1037/a0023304</x:v>
      </x:c>
      <x:c r="M36" s="43" t="str">
        <x:v>Preserved from the verified legacy Social source library and normalized during the 2026-08-26 Layer 3 reconstruction. This is representative evidence, not a new formal systematic-review extraction.</x:v>
      </x:c>
    </x:row>
    <x:row r="37" ht="72" customHeight="1">
      <x:c r="A37" s="43" t="str">
        <x:v>SRC240</x:v>
      </x:c>
      <x:c r="B37" s="43" t="str">
        <x:v>SOC-039; SOC-064; SOC-079</x:v>
      </x:c>
      <x:c r="C37" s="43" t="str">
        <x:v>Cooperation, Reciprocity &amp; Mutual Dependence; Group Composition, Cohesion &amp; Deliberation; Coordination, Accountability &amp; Collective Capacity</x:v>
      </x:c>
      <x:c r="D37" s="43" t="str">
        <x:v>Karau, S. J., &amp; Williams, K. D. (1993). Social loafing: A meta-analytic review and theoretical integration. Journal of Personality and Social Psychology, 65(4), 681–706.</x:v>
      </x:c>
      <x:c r="E37" s="43" t="n">
        <x:v>1993</x:v>
      </x:c>
      <x:c r="F37" s="43" t="str">
        <x:v>Meta-analysis</x:v>
      </x:c>
      <x:c r="G37" s="43" t="str">
        <x:v>Populations represented in the included literature; countries, ages, settings, and sampling frames vary by source.</x:v>
      </x:c>
      <x:c r="H37" s="43" t="str">
        <x:v>Social loafing and collective effort. 78 studies; multiple strong moderators.</x:v>
      </x:c>
      <x:c r="I37" s="43" t="str">
        <x:v>Construct- and relationship-specific; see the finding, limitations, and linked Relationships or migration records.</x:v>
      </x:c>
      <x:c r="J37" s="43" t="str">
        <x:v>78 studies; multiple strong moderators. Included constructs, populations, settings, measures, and designs are heterogeneous; pooled associations do not by themselves identify a universal causal effect.</x:v>
      </x:c>
      <x:c r="K37" s="43" t="str">
        <x:v>Strong</x:v>
      </x:c>
      <x:c r="L37" s="43" t="str">
        <x:v>https://doi.org/10.1037/0022-3514.65.4.681</x:v>
      </x:c>
      <x:c r="M37" s="43" t="str">
        <x:v>Preserved from the verified legacy Social source library and normalized during the 2026-08-26 Layer 3 reconstruction. This is representative evidence, not a new formal systematic-review extraction.</x:v>
      </x:c>
    </x:row>
    <x:row r="38" ht="72" customHeight="1">
      <x:c r="A38" s="43" t="str">
        <x:v>SRC241</x:v>
      </x:c>
      <x:c r="B38" s="43" t="str">
        <x:v>SOC-012; SOC-082; SOC-083; SOC-086</x:v>
      </x:c>
      <x:c r="C38" s="43" t="str">
        <x:v>Direct Social Influence Conditions; Audience &amp; Social Evaluation</x:v>
      </x:c>
      <x:c r="D38" s="43" t="str">
        <x:v>Bond, C. F., Jr., &amp; Titus, L. J. (1983). Social facilitation: A meta-analysis of 241 studies. Psychological Bulletin, 94(2), 265–292.</x:v>
      </x:c>
      <x:c r="E38" s="43" t="n">
        <x:v>1983</x:v>
      </x:c>
      <x:c r="F38" s="43" t="str">
        <x:v>Meta-analysis</x:v>
      </x:c>
      <x:c r="G38" s="43" t="str">
        <x:v>Populations represented in the included literature; countries, ages, settings, and sampling frames vary by source.</x:v>
      </x:c>
      <x:c r="H38" s="43" t="str">
        <x:v>Presence of others and task performance. Effects are generally small and task-dependent.</x:v>
      </x:c>
      <x:c r="I38" s="43" t="str">
        <x:v>Construct- and relationship-specific; see the finding, limitations, and linked Relationships or migration records.</x:v>
      </x:c>
      <x:c r="J38" s="43" t="str">
        <x:v>Effects are generally small and task-dependent. Included constructs, populations, settings, measures, and designs are heterogeneous; pooled associations do not by themselves identify a universal causal effect.</x:v>
      </x:c>
      <x:c r="K38" s="43" t="str">
        <x:v>Strong</x:v>
      </x:c>
      <x:c r="L38" s="43" t="str">
        <x:v>https://doi.org/10.1037/0033-2909.94.2.265</x:v>
      </x:c>
      <x:c r="M38" s="43" t="str">
        <x:v>Preserved from the verified legacy Social source library and normalized during the 2026-08-26 Layer 3 reconstruction. This is representative evidence, not a new formal systematic-review extraction.</x:v>
      </x:c>
    </x:row>
    <x:row r="39" ht="72" customHeight="1">
      <x:c r="A39" s="43" t="str">
        <x:v>SRC242</x:v>
      </x:c>
      <x:c r="B39" s="43" t="str">
        <x:v>SOC-068</x:v>
      </x:c>
      <x:c r="C39" s="43" t="str">
        <x:v>Group Composition, Cohesion &amp; Deliberation</x:v>
      </x:c>
      <x:c r="D39" s="43" t="str">
        <x:v>Isenberg, D. J. (1986). Group polarization: A critical review and meta-analysis. Journal of Personality and Social Psychology, 50(6), 1141–1151.</x:v>
      </x:c>
      <x:c r="E39" s="43" t="n">
        <x:v>1986</x:v>
      </x:c>
      <x:c r="F39" s="43" t="str">
        <x:v>Meta-analysis</x:v>
      </x:c>
      <x:c r="G39" s="43" t="str">
        <x:v>Populations represented in the included literature; countries, ages, settings, and sampling frames vary by source.</x:v>
      </x:c>
      <x:c r="H39" s="43" t="str">
        <x:v>Group polarization. Supports both persuasive-argument and social-comparison mechanisms.</x:v>
      </x:c>
      <x:c r="I39" s="43" t="str">
        <x:v>Construct- and relationship-specific; see the finding, limitations, and linked Relationships or migration records.</x:v>
      </x:c>
      <x:c r="J39" s="43" t="str">
        <x:v>Supports both persuasive-argument and social-comparison mechanisms. Included constructs, populations, settings, measures, and designs are heterogeneous; pooled associations do not by themselves identify a universal causal effect.</x:v>
      </x:c>
      <x:c r="K39" s="43" t="str">
        <x:v>Strong</x:v>
      </x:c>
      <x:c r="L39" s="43" t="str">
        <x:v>https://doi.org/10.1037/0022-3514.50.6.1141</x:v>
      </x:c>
      <x:c r="M39" s="43" t="str">
        <x:v>Preserved from the verified legacy Social source library and normalized during the 2026-08-26 Layer 3 reconstruction. This is representative evidence, not a new formal systematic-review extraction.</x:v>
      </x:c>
    </x:row>
    <x:row r="40" ht="72" customHeight="1">
      <x:c r="A40" s="43" t="str">
        <x:v>SRC243</x:v>
      </x:c>
      <x:c r="B40" s="43" t="str">
        <x:v>SOC-065</x:v>
      </x:c>
      <x:c r="C40" s="43" t="str">
        <x:v>Group Composition, Cohesion &amp; Deliberation</x:v>
      </x:c>
      <x:c r="D40" s="43" t="str">
        <x:v>Beal, D. J., Cohen, R. R., Burke, M. J., &amp; McLendon, C. L. (2003). Cohesion and performance in groups: A meta-analytic clarification of construct relations. Journal of Applied Psychology, 88(6), 989–1004.</x:v>
      </x:c>
      <x:c r="E40" s="43" t="n">
        <x:v>2003</x:v>
      </x:c>
      <x:c r="F40" s="43" t="str">
        <x:v>Meta-analysis</x:v>
      </x:c>
      <x:c r="G40" s="43" t="str">
        <x:v>Populations represented in the included literature; countries, ages, settings, and sampling frames vary by source.</x:v>
      </x:c>
      <x:c r="H40" s="43" t="str">
        <x:v>Group cohesion and performance. Relationship varies by workflow and performance criterion.</x:v>
      </x:c>
      <x:c r="I40" s="43" t="str">
        <x:v>Construct- and relationship-specific; see the finding, limitations, and linked Relationships or migration records.</x:v>
      </x:c>
      <x:c r="J40" s="43" t="str">
        <x:v>Relationship varies by workflow and performance criterion. Included constructs, populations, settings, measures, and designs are heterogeneous; pooled associations do not by themselves identify a universal causal effect.</x:v>
      </x:c>
      <x:c r="K40" s="43" t="str">
        <x:v>Strong</x:v>
      </x:c>
      <x:c r="L40" s="43" t="str">
        <x:v>https://doi.org/10.1037/0021-9010.88.6.989</x:v>
      </x:c>
      <x:c r="M40" s="43" t="str">
        <x:v>Preserved from the verified legacy Social source library and normalized during the 2026-08-26 Layer 3 reconstruction. This is representative evidence, not a new formal systematic-review extraction.</x:v>
      </x:c>
    </x:row>
    <x:row r="41" ht="72" customHeight="1">
      <x:c r="A41" s="43" t="str">
        <x:v>SRC244</x:v>
      </x:c>
      <x:c r="B41" s="43" t="str">
        <x:v>SOC-088; SOC-089; SOC-090; SOC-091</x:v>
      </x:c>
      <x:c r="C41" s="43" t="str">
        <x:v>Intergroup Contact, Boundaries &amp; Competition</x:v>
      </x:c>
      <x:c r="D41" s="43" t="str">
        <x:v>Pettigrew, T. F., &amp; Tropp, L. R. (2006). A meta-analytic test of intergroup contact theory. Journal of Personality and Social Psychology, 90(5), 751–783.</x:v>
      </x:c>
      <x:c r="E41" s="43" t="n">
        <x:v>2006</x:v>
      </x:c>
      <x:c r="F41" s="43" t="str">
        <x:v>Meta-analysis</x:v>
      </x:c>
      <x:c r="G41" s="43" t="str">
        <x:v>Populations represented in the included literature; countries, ages, settings, and sampling frames vary by source.</x:v>
      </x:c>
      <x:c r="H41" s="43" t="str">
        <x:v>Intergroup contact and prejudice. 713 independent samples from 515 studies.</x:v>
      </x:c>
      <x:c r="I41" s="43" t="str">
        <x:v>Construct- and relationship-specific; see the finding, limitations, and linked Relationships or migration records.</x:v>
      </x:c>
      <x:c r="J41" s="43" t="str">
        <x:v>713 independent samples from 515 studies. Included constructs, populations, settings, measures, and designs are heterogeneous; pooled associations do not by themselves identify a universal causal effect.</x:v>
      </x:c>
      <x:c r="K41" s="43" t="str">
        <x:v>Strong</x:v>
      </x:c>
      <x:c r="L41" s="43" t="str">
        <x:v>https://doi.org/10.1037/0022-3514.90.5.751</x:v>
      </x:c>
      <x:c r="M41" s="43" t="str">
        <x:v>Preserved from the verified legacy Social source library and normalized during the 2026-08-26 Layer 3 reconstruction. This is representative evidence, not a new formal systematic-review extraction.</x:v>
      </x:c>
    </x:row>
    <x:row r="42" ht="72" customHeight="1">
      <x:c r="A42" s="43" t="str">
        <x:v>SRC245</x:v>
      </x:c>
      <x:c r="B42" s="43" t="str">
        <x:v>SOC-092; SOC-096</x:v>
      </x:c>
      <x:c r="C42" s="43" t="str">
        <x:v>Intergroup Contact, Boundaries &amp; Competition</x:v>
      </x:c>
      <x:c r="D42" s="43" t="str">
        <x:v>Riek, B. M., Mania, E. W., &amp; Gaertner, S. L. (2006). Intergroup threat and outgroup attitudes: A meta-analytic review. Personality and Social Psychology Review, 10(4), 336–353.</x:v>
      </x:c>
      <x:c r="E42" s="43" t="n">
        <x:v>2006</x:v>
      </x:c>
      <x:c r="F42" s="43" t="str">
        <x:v>Meta-analysis</x:v>
      </x:c>
      <x:c r="G42" s="43" t="str">
        <x:v>Populations represented in the included literature; countries, ages, settings, and sampling frames vary by source.</x:v>
      </x:c>
      <x:c r="H42" s="43" t="str">
        <x:v>Realistic/symbolic threat and intergroup attitudes. 95 samples; multiple threat forms relate to negative out-group attitudes.</x:v>
      </x:c>
      <x:c r="I42" s="43" t="str">
        <x:v>Construct- and relationship-specific; see the finding, limitations, and linked Relationships or migration records.</x:v>
      </x:c>
      <x:c r="J42" s="43" t="str">
        <x:v>95 samples; multiple threat forms relate to negative out-group attitudes. Included constructs, populations, settings, measures, and designs are heterogeneous; pooled associations do not by themselves identify a universal causal effect.</x:v>
      </x:c>
      <x:c r="K42" s="43" t="str">
        <x:v>Strong</x:v>
      </x:c>
      <x:c r="L42" s="43" t="str">
        <x:v>https://doi.org/10.1207/s15327957pspr1004_4</x:v>
      </x:c>
      <x:c r="M42" s="43" t="str">
        <x:v>Preserved from the verified legacy Social source library and normalized during the 2026-08-26 Layer 3 reconstruction. This is representative evidence, not a new formal systematic-review extraction.</x:v>
      </x:c>
    </x:row>
    <x:row r="43" ht="72" customHeight="1">
      <x:c r="A43" s="43" t="str">
        <x:v>SRC246</x:v>
      </x:c>
      <x:c r="B43" s="43" t="str">
        <x:v>SOC-046; SOC-047</x:v>
      </x:c>
      <x:c r="C43" s="43" t="str">
        <x:v>Status, Reputation &amp; Relational Power</x:v>
      </x:c>
      <x:c r="D43" s="43" t="str">
        <x:v>Keltner, D., Gruenfeld, D. H., &amp; Anderson, C. (2003). Power, approach, and inhibition. Psychological Review, 110(2), 265–284.</x:v>
      </x:c>
      <x:c r="E43" s="43" t="n">
        <x:v>2003</x:v>
      </x:c>
      <x:c r="F43" s="43" t="str">
        <x:v>Theory + experimental review</x:v>
      </x:c>
      <x:c r="G43" s="43" t="str">
        <x:v>Populations represented in the included literature; countries, ages, settings, and sampling frames vary by source.</x:v>
      </x:c>
      <x:c r="H43" s="43" t="str">
        <x:v>Power and behavior. Influential framework for how power changes approach and inhibition.</x:v>
      </x:c>
      <x:c r="I43" s="43" t="str">
        <x:v>Construct- and relationship-specific; see the finding, limitations, and linked Relationships or migration records.</x:v>
      </x:c>
      <x:c r="J43" s="43" t="str">
        <x:v>Influential framework for how power changes approach and inhibition. The behavior, population, treatment, and observation window are specific; external validity and mechanism transfer require separate evaluation.</x:v>
      </x:c>
      <x:c r="K43" s="43" t="str">
        <x:v>Moderate</x:v>
      </x:c>
      <x:c r="L43" s="43" t="str">
        <x:v>https://doi.org/10.1037/0033-295X.110.2.265</x:v>
      </x:c>
      <x:c r="M43" s="43" t="str">
        <x:v>Preserved from the verified legacy Social source library and normalized during the 2026-08-26 Layer 3 reconstruction. This is representative evidence, not a new formal systematic-review extraction.</x:v>
      </x:c>
    </x:row>
    <x:row r="44" ht="72" customHeight="1">
      <x:c r="A44" s="43" t="str">
        <x:v>SRC247</x:v>
      </x:c>
      <x:c r="B44" s="43" t="str">
        <x:v>SOC-088; SOC-089; SOC-090</x:v>
      </x:c>
      <x:c r="C44" s="43" t="str">
        <x:v>Intergroup Contact, Boundaries &amp; Competition</x:v>
      </x:c>
      <x:c r="D44" s="43" t="str">
        <x:v>Pettigrew, T. F., &amp; Tropp, L. R. (2008). How does intergroup contact reduce prejudice? Meta-analytic tests of three mediators. European Journal of Social Psychology, 38(6), 922–934.</x:v>
      </x:c>
      <x:c r="E44" s="43" t="n">
        <x:v>2008</x:v>
      </x:c>
      <x:c r="F44" s="43" t="str">
        <x:v>Meta-analysis</x:v>
      </x:c>
      <x:c r="G44" s="43" t="str">
        <x:v>Populations represented in the included literature; countries, ages, settings, and sampling frames vary by source.</x:v>
      </x:c>
      <x:c r="H44" s="43" t="str">
        <x:v>Mediators of contact effects. Anxiety reduction and empathy/perspective taking were stronger mediators than knowledge.</x:v>
      </x:c>
      <x:c r="I44" s="43" t="str">
        <x:v>Construct- and relationship-specific; see the finding, limitations, and linked Relationships or migration records.</x:v>
      </x:c>
      <x:c r="J44" s="43" t="str">
        <x:v>Anxiety reduction and empathy/perspective taking were stronger mediators than knowledge. Included constructs, populations, settings, measures, and designs are heterogeneous; pooled associations do not by themselves identify a universal causal effect.</x:v>
      </x:c>
      <x:c r="K44" s="43" t="str">
        <x:v>Strong</x:v>
      </x:c>
      <x:c r="L44" s="43" t="str">
        <x:v>https://doi.org/10.1002/ejsp.504</x:v>
      </x:c>
      <x:c r="M44" s="43" t="str">
        <x:v>Preserved from the verified legacy Social source library and normalized during the 2026-08-26 Layer 3 reconstruction. This is representative evidence, not a new formal systematic-review extraction.</x:v>
      </x:c>
    </x:row>
    <x:row r="45" ht="72" customHeight="1">
      <x:c r="A45" s="43" t="str">
        <x:v>SRC248</x:v>
      </x:c>
      <x:c r="B45" s="43" t="str">
        <x:v>SOC-020; SOC-033; SOC-035; SOC-036; SOC-037; SOC-038</x:v>
      </x:c>
      <x:c r="C45" s="43" t="str">
        <x:v>Interaction &amp; Relational Embeddedness; Cooperation, Reciprocity &amp; Mutual Dependence</x:v>
      </x:c>
      <x:c r="D45" s="43" t="str">
        <x:v>Berg, J., Dickhaut, J., &amp; McCabe, K. (1995). Trust, reciprocity, and social history. Games and Economic Behavior, 10(1), 122–142.</x:v>
      </x:c>
      <x:c r="E45" s="43" t="n">
        <x:v>1995</x:v>
      </x:c>
      <x:c r="F45" s="43" t="str">
        <x:v>Laboratory experiment</x:v>
      </x:c>
      <x:c r="G45" s="43" t="str">
        <x:v>Primarily human participant samples in the cited research; consult the source for exact population, setting, network boundary, and sampling details.</x:v>
      </x:c>
      <x:c r="H45" s="43" t="str">
        <x:v>Trust and reciprocity. Foundational experimental trust-game evidence.</x:v>
      </x:c>
      <x:c r="I45" s="43" t="str">
        <x:v>Construct- and relationship-specific; see the finding, limitations, and linked Relationships or migration records.</x:v>
      </x:c>
      <x:c r="J45" s="43" t="str">
        <x:v>Foundational experimental trust-game evidence. The behavior, population, treatment, and observation window are specific; external validity and mechanism transfer require separate evaluation.</x:v>
      </x:c>
      <x:c r="K45" s="43" t="str">
        <x:v>Moderate</x:v>
      </x:c>
      <x:c r="L45" s="43" t="str">
        <x:v>https://doi.org/10.1006/game.1995.1027</x:v>
      </x:c>
      <x:c r="M45" s="43" t="str">
        <x:v>Preserved from the verified legacy Social source library and normalized during the 2026-08-26 Layer 3 reconstruction. This is representative evidence, not a new formal systematic-review extraction.</x:v>
      </x:c>
    </x:row>
    <x:row r="46" ht="72" customHeight="1">
      <x:c r="A46" s="43" t="str">
        <x:v>SRC249</x:v>
      </x:c>
      <x:c r="B46" s="43" t="str">
        <x:v>SOC-043; SOC-044; SOC-084; SOC-085</x:v>
      </x:c>
      <x:c r="C46" s="43" t="str">
        <x:v>Status, Reputation &amp; Relational Power; Audience &amp; Social Evaluation</x:v>
      </x:c>
      <x:c r="D46" s="43" t="str">
        <x:v>Nowak, M. A., &amp; Sigmund, K. (2005). Evolution of indirect reciprocity. Nature, 437, 1291–1298.</x:v>
      </x:c>
      <x:c r="E46" s="43" t="n">
        <x:v>2005</x:v>
      </x:c>
      <x:c r="F46" s="43" t="str">
        <x:v>Theory + experimental synthesis</x:v>
      </x:c>
      <x:c r="G46" s="43" t="str">
        <x:v>Primarily human participant samples in the cited research; consult the source for exact population, setting, network boundary, and sampling details.</x:v>
      </x:c>
      <x:c r="H46" s="43" t="str">
        <x:v>Reputation and indirect reciprocity. Useful for reputation as a mechanism supporting cooperation.</x:v>
      </x:c>
      <x:c r="I46" s="43" t="str">
        <x:v>Construct- and relationship-specific; see the finding, limitations, and linked Relationships or migration records.</x:v>
      </x:c>
      <x:c r="J46" s="43" t="str">
        <x:v>Useful for reputation as a mechanism supporting cooperation. The behavior, population, treatment, and observation window are specific; external validity and mechanism transfer require separate evaluation.</x:v>
      </x:c>
      <x:c r="K46" s="43" t="str">
        <x:v>Moderate</x:v>
      </x:c>
      <x:c r="L46" s="43" t="str">
        <x:v>https://doi.org/10.1038/nature04131</x:v>
      </x:c>
      <x:c r="M46" s="43" t="str">
        <x:v>Preserved from the verified legacy Social source library and normalized during the 2026-08-26 Layer 3 reconstruction. This is representative evidence, not a new formal systematic-review extraction.</x:v>
      </x:c>
    </x:row>
    <x:row r="47" ht="72" customHeight="1">
      <x:c r="A47" s="43" t="str">
        <x:v>SRC250</x:v>
      </x:c>
      <x:c r="B47" s="43" t="str">
        <x:v>SOC-015; SOC-051; SOC-061; SOC-062</x:v>
      </x:c>
      <x:c r="C47" s="43" t="str">
        <x:v>Direct Social Influence Conditions; Network Structure &amp; Position; Network Exposure &amp; Social Diffusion</x:v>
      </x:c>
      <x:c r="D47" s="43" t="str">
        <x:v>Paluck, E. L., Shepherd, H., &amp; Aronow, P. M. (2016). Changing climates of conflict: A social network experiment in 56 schools. Proceedings of the National Academy of Sciences, 113(3), 566–571.</x:v>
      </x:c>
      <x:c r="E47" s="43" t="n">
        <x:v>2016</x:v>
      </x:c>
      <x:c r="F47" s="43" t="str">
        <x:v>Randomized field experiment</x:v>
      </x:c>
      <x:c r="G47" s="43" t="str">
        <x:v>Primarily human participant samples in the cited research; consult the source for exact population, setting, network boundary, and sampling details.</x:v>
      </x:c>
      <x:c r="H47" s="43" t="str">
        <x:v>Social referents, norms, network influence. 24,191 students; effects were larger when seed groups included influential social referents.</x:v>
      </x:c>
      <x:c r="I47" s="43" t="str">
        <x:v>Construct- and relationship-specific; see the finding, limitations, and linked Relationships or migration records.</x:v>
      </x:c>
      <x:c r="J47" s="43" t="str">
        <x:v>24,191 students; effects were larger when seed groups included influential social referents. The behavior, population, treatment, and observation window are specific; external validity and mechanism transfer require separate evaluation.</x:v>
      </x:c>
      <x:c r="K47" s="43" t="str">
        <x:v>Strong</x:v>
      </x:c>
      <x:c r="L47" s="43" t="str">
        <x:v>https://doi.org/10.1073/pnas.1514483113</x:v>
      </x:c>
      <x:c r="M47" s="43" t="str">
        <x:v>Preserved from the verified legacy Social source library and normalized during the 2026-08-26 Layer 3 reconstruction. This is representative evidence, not a new formal systematic-review extraction.</x:v>
      </x:c>
    </x:row>
    <x:row r="48" ht="72" customHeight="1">
      <x:c r="A48" s="43" t="str">
        <x:v>SRC251</x:v>
      </x:c>
      <x:c r="B48" s="43" t="str">
        <x:v>SOC-001; SOC-002; SOC-003; SOC-004; SOC-005; SOC-006; SOC-007; SOC-008; SOC-087</x:v>
      </x:c>
      <x:c r="C48" s="43" t="str">
        <x:v>Normative Climate &amp; Informal Enforcement; Audience &amp; Social Evaluation</x:v>
      </x:c>
      <x:c r="D48" s="43" t="str">
        <x:v>Wenzel &amp; Woodyatt (2025) — The Power and Pitfalls of Social Norms</x:v>
      </x:c>
      <x:c r="E48" s="43" t="n">
        <x:v>2025</x:v>
      </x:c>
      <x:c r="F48" s="43" t="str">
        <x:v>Annual review</x:v>
      </x:c>
      <x:c r="G48" s="43" t="str">
        <x:v>Populations represented in the included literature; countries, ages, settings, and sampling frames vary by source.</x:v>
      </x:c>
      <x:c r="H48" s="43" t="str">
        <x:v>Synthesizes how socially shared injunctive norms operate through internalization and informal or formal enforcement and why norm interventions can fail or backfire.</x:v>
      </x:c>
      <x:c r="I48" s="43" t="str">
        <x:v>Construct- and relationship-specific; see the finding, limitations, and linked Relationships or migration records.</x:v>
      </x:c>
      <x:c r="J48" s="43" t="str">
        <x:v>Norm effects depend on identity, self-relevance, selective referents, motive crowding, and how social meaning is reconstructed.</x:v>
      </x:c>
      <x:c r="K48" s="43" t="str">
        <x:v>Strong</x:v>
      </x:c>
      <x:c r="L48" s="43" t="str">
        <x:v>https://doi.org/10.1146/annurev-psych-020124-120310</x:v>
      </x:c>
      <x:c r="M48" s="43" t="str">
        <x:v>Bibliographic metadata and persistent URL were verified against an authoritative publisher, index, or repository during the 2026-08-26 Layer 3 reconstruction. This is representative evidence, not a new formal systematic-review extraction.</x:v>
      </x:c>
    </x:row>
    <x:row r="49" ht="72" customHeight="1">
      <x:c r="A49" s="43" t="str">
        <x:v>SRC252</x:v>
      </x:c>
      <x:c r="B49" s="43" t="str">
        <x:v>SOC-009; SOC-010; SOC-011; SOC-014</x:v>
      </x:c>
      <x:c r="C49" s="43" t="str">
        <x:v>Direct Social Influence Conditions</x:v>
      </x:c>
      <x:c r="D49" s="43" t="str">
        <x:v>Cialdini &amp; Goldstein (2004) — Social Influence: Compliance and Conformity</x:v>
      </x:c>
      <x:c r="E49" s="43" t="n">
        <x:v>2004</x:v>
      </x:c>
      <x:c r="F49" s="43" t="str">
        <x:v>Annual review</x:v>
      </x:c>
      <x:c r="G49" s="43" t="str">
        <x:v>Populations represented in the included literature; countries, ages, settings, and sampling frames vary by source.</x:v>
      </x:c>
      <x:c r="H49" s="43" t="str">
        <x:v>Integrates evidence on compliance and conformity and distinguishes accuracy, affiliation, and self-concept goals in social influence.</x:v>
      </x:c>
      <x:c r="I49" s="43" t="str">
        <x:v>Construct- and relationship-specific; see the finding, limitations, and linked Relationships or migration records.</x:v>
      </x:c>
      <x:c r="J49" s="43" t="str">
        <x:v>A broad narrative synthesis; specific effects vary with task, response privacy, culture, group relationship, and influence procedure.</x:v>
      </x:c>
      <x:c r="K49" s="43" t="str">
        <x:v>Strong</x:v>
      </x:c>
      <x:c r="L49" s="43" t="str">
        <x:v>https://doi.org/10.1146/annurev.psych.55.090902.142015</x:v>
      </x:c>
      <x:c r="M49" s="43" t="str">
        <x:v>Bibliographic metadata and persistent URL were verified against an authoritative publisher, index, or repository during the 2026-08-26 Layer 3 reconstruction. This is representative evidence, not a new formal systematic-review extraction.</x:v>
      </x:c>
    </x:row>
    <x:row r="50" ht="72" customHeight="1">
      <x:c r="A50" s="43" t="str">
        <x:v>SRC253</x:v>
      </x:c>
      <x:c r="B50" s="43" t="str">
        <x:v>SOC-026; SOC-027; SOC-028; SOC-029</x:v>
      </x:c>
      <x:c r="C50" s="43" t="str">
        <x:v>Inclusion, Support &amp; Social Integration</x:v>
      </x:c>
      <x:c r="D50" s="43" t="str">
        <x:v>Haber, Cohen, Lucas &amp; Baltes (2007) — The Relationship Between Self-Reported Received and Perceived Social Support: A Meta-Analytic Review</x:v>
      </x:c>
      <x:c r="E50" s="43" t="n">
        <x:v>2007</x:v>
      </x:c>
      <x:c r="F50" s="43" t="str">
        <x:v>Meta-analysis</x:v>
      </x:c>
      <x:c r="G50" s="43" t="str">
        <x:v>Populations represented in the included literature; countries, ages, settings, and sampling frames vary by source.</x:v>
      </x:c>
      <x:c r="H50" s="43" t="str">
        <x:v>Shows that received and perceived support are related but empirically distinct, supporting separate ontology nodes for enacted support and subjective availability.</x:v>
      </x:c>
      <x:c r="I50" s="43" t="str">
        <x:v>Construct- and relationship-specific; see the finding, limitations, and linked Relationships or migration records.</x:v>
      </x:c>
      <x:c r="J50" s="43" t="str">
        <x:v>Self-report dominates both constructs; support type, source, need, timing, and study design contribute heterogeneity.</x:v>
      </x:c>
      <x:c r="K50" s="43" t="str">
        <x:v>Strong</x:v>
      </x:c>
      <x:c r="L50" s="43" t="str">
        <x:v>https://doi.org/10.1007/s10464-007-9100-9</x:v>
      </x:c>
      <x:c r="M50" s="43" t="str">
        <x:v>Bibliographic metadata and persistent URL were verified against an authoritative publisher, index, or repository during the 2026-08-26 Layer 3 reconstruction. This is representative evidence, not a new formal systematic-review extraction.</x:v>
      </x:c>
    </x:row>
    <x:row r="51" ht="72" customHeight="1">
      <x:c r="A51" s="43" t="str">
        <x:v>SRC254</x:v>
      </x:c>
      <x:c r="B51" s="43" t="str">
        <x:v>SOC-016; SOC-017; SOC-018; SOC-019; SOC-020; SOC-021; SOC-022; SOC-023; SOC-024; SOC-029; SOC-052; SOC-053; SOC-055; SOC-060; SOC-066; SOC-072</x:v>
      </x:c>
      <x:c r="C51" s="43" t="str">
        <x:v>Interaction &amp; Relational Embeddedness; Inclusion, Support &amp; Social Integration; Network Structure &amp; Position; Network Exposure &amp; Social Diffusion; Group Composition, Cohesion &amp; Deliberation</x:v>
      </x:c>
      <x:c r="D51" s="43" t="str">
        <x:v>Brass (2022) — New Developments in Social Network Analysis</x:v>
      </x:c>
      <x:c r="E51" s="43" t="n">
        <x:v>2022</x:v>
      </x:c>
      <x:c r="F51" s="43" t="str">
        <x:v>Annual review</x:v>
      </x:c>
      <x:c r="G51" s="43" t="str">
        <x:v>Populations represented in the included literature; countries, ages, settings, and sampling frames vary by source.</x:v>
      </x:c>
      <x:c r="H51" s="43" t="str">
        <x:v>Reviews structural holes, brokerage, tie types, multiplexity, redundancy, and the need to distinguish network structure from affect, behavior, and cognition.</x:v>
      </x:c>
      <x:c r="I51" s="43" t="str">
        <x:v>Construct- and relationship-specific; see the finding, limitations, and linked Relationships or migration records.</x:v>
      </x:c>
      <x:c r="J51" s="43" t="str">
        <x:v>Focused primarily on interpersonal networks in organizations; conceptual review rather than a single causal estimate.</x:v>
      </x:c>
      <x:c r="K51" s="43" t="str">
        <x:v>Strong</x:v>
      </x:c>
      <x:c r="L51" s="43" t="str">
        <x:v>https://doi.org/10.1146/annurev-orgpsych-012420-090628</x:v>
      </x:c>
      <x:c r="M51" s="43" t="str">
        <x:v>Bibliographic metadata and persistent URL were verified against an authoritative publisher, index, or repository during the 2026-08-26 Layer 3 reconstruction. This is representative evidence, not a new formal systematic-review extraction.</x:v>
      </x:c>
    </x:row>
    <x:row r="52" ht="72" customHeight="1">
      <x:c r="A52" s="43" t="str">
        <x:v>SRC255</x:v>
      </x:c>
      <x:c r="B52" s="43" t="str">
        <x:v>SOC-049; SOC-050; SOC-051</x:v>
      </x:c>
      <x:c r="C52" s="43" t="str">
        <x:v>Network Structure &amp; Position</x:v>
      </x:c>
      <x:c r="D52" s="43" t="str">
        <x:v>Freeman (1979) — Centrality in Social Networks: Conceptual Clarification</x:v>
      </x:c>
      <x:c r="E52" s="43" t="n">
        <x:v>1979</x:v>
      </x:c>
      <x:c r="F52" s="43" t="str">
        <x:v>Foundational methodological article</x:v>
      </x:c>
      <x:c r="G52" s="43" t="str">
        <x:v>Primarily human participant samples in the cited research; consult the source for exact population, setting, network boundary, and sampling details.</x:v>
      </x:c>
      <x:c r="H52" s="43" t="str">
        <x:v>Distinguishes major centrality concepts and provides formal actor- and network-level measures, supporting noninterchangeable centrality nodes.</x:v>
      </x:c>
      <x:c r="I52" s="43" t="str">
        <x:v>Construct- and relationship-specific; see the finding, limitations, and linked Relationships or migration records.</x:v>
      </x:c>
      <x:c r="J52" s="43" t="str">
        <x:v>Centrality meaning depends on graph boundary, tie relation, direction, weighting, and the flow process assumed by the application.</x:v>
      </x:c>
      <x:c r="K52" s="43" t="str">
        <x:v>Strong</x:v>
      </x:c>
      <x:c r="L52" s="43" t="str">
        <x:v>https://doi.org/10.1016/0378-8733(78)90021-7</x:v>
      </x:c>
      <x:c r="M52" s="43" t="str">
        <x:v>Bibliographic metadata and persistent URL were verified against an authoritative publisher, index, or repository during the 2026-08-26 Layer 3 reconstruction. This is representative evidence, not a new formal systematic-review extraction.</x:v>
      </x:c>
    </x:row>
    <x:row r="53" ht="72" customHeight="1">
      <x:c r="A53" s="43" t="str">
        <x:v>SRC256</x:v>
      </x:c>
      <x:c r="B53" s="43" t="str">
        <x:v>SOC-024; SOC-025; SOC-032; SOC-049; SOC-052; SOC-053</x:v>
      </x:c>
      <x:c r="C53" s="43" t="str">
        <x:v>Inclusion, Support &amp; Social Integration; Network Structure &amp; Position</x:v>
      </x:c>
      <x:c r="D53" s="43" t="str">
        <x:v>Borgatti, Mehra, Brass &amp; Labianca (2009) — Network Analysis in the Social Sciences</x:v>
      </x:c>
      <x:c r="E53" s="43" t="n">
        <x:v>2009</x:v>
      </x:c>
      <x:c r="F53" s="43" t="str">
        <x:v>Scientific review</x:v>
      </x:c>
      <x:c r="G53" s="43" t="str">
        <x:v>Populations represented in the included literature; countries, ages, settings, and sampling frames vary by source.</x:v>
      </x:c>
      <x:c r="H53" s="43" t="str">
        <x:v>Reviews network structures as explanatory variables and describes opportunity, constraint, diffusion, homogeneity, and performance mechanisms.</x:v>
      </x:c>
      <x:c r="I53" s="43" t="str">
        <x:v>Construct- and relationship-specific; see the finding, limitations, and linked Relationships or migration records.</x:v>
      </x:c>
      <x:c r="J53" s="43" t="str">
        <x:v>High-level synthesis; particular graph statistics are not universally causal and require domain-specific flow assumptions.</x:v>
      </x:c>
      <x:c r="K53" s="43" t="str">
        <x:v>Strong</x:v>
      </x:c>
      <x:c r="L53" s="43" t="str">
        <x:v>https://doi.org/10.1126/science.1165821</x:v>
      </x:c>
      <x:c r="M53" s="43" t="str">
        <x:v>Bibliographic metadata and persistent URL were verified against an authoritative publisher, index, or repository during the 2026-08-26 Layer 3 reconstruction. This is representative evidence, not a new formal systematic-review extraction.</x:v>
      </x:c>
    </x:row>
    <x:row r="54" ht="72" customHeight="1">
      <x:c r="A54" s="43" t="str">
        <x:v>SRC257</x:v>
      </x:c>
      <x:c r="B54" s="43" t="str">
        <x:v>SOC-043; SOC-044; SOC-084</x:v>
      </x:c>
      <x:c r="C54" s="43" t="str">
        <x:v>Status, Reputation &amp; Relational Power; Audience &amp; Social Evaluation</x:v>
      </x:c>
      <x:c r="D54" s="43" t="str">
        <x:v>Wu, Balliet &amp; Van Lange (2016) — Reputation, Gossip, and Human Cooperation</x:v>
      </x:c>
      <x:c r="E54" s="43" t="n">
        <x:v>2016</x:v>
      </x:c>
      <x:c r="F54" s="43" t="str">
        <x:v>Integrative review</x:v>
      </x:c>
      <x:c r="G54" s="43" t="str">
        <x:v>Populations represented in the included literature; countries, ages, settings, and sampling frames vary by source.</x:v>
      </x:c>
      <x:c r="H54" s="43" t="str">
        <x:v>Synthesizes how reputation information and gossip can support partner choice and cooperation beyond direct repeated interaction.</x:v>
      </x:c>
      <x:c r="I54" s="43" t="str">
        <x:v>Construct- and relationship-specific; see the finding, limitations, and linked Relationships or migration records.</x:v>
      </x:c>
      <x:c r="J54" s="43" t="str">
        <x:v>Reputation effects depend on information accuracy, audience structure, gossip incentives, observability, and cultural context.</x:v>
      </x:c>
      <x:c r="K54" s="43" t="str">
        <x:v>Moderate</x:v>
      </x:c>
      <x:c r="L54" s="43" t="str">
        <x:v>https://doi.org/10.1111/spc3.12255</x:v>
      </x:c>
      <x:c r="M54" s="43" t="str">
        <x:v>Bibliographic metadata and persistent URL were verified against an authoritative publisher, index, or repository during the 2026-08-26 Layer 3 reconstruction. This is representative evidence, not a new formal systematic-review extraction.</x:v>
      </x:c>
    </x:row>
    <x:row r="55" ht="72" customHeight="1">
      <x:c r="A55" s="43" t="str">
        <x:v>SRC258</x:v>
      </x:c>
      <x:c r="B55" s="43" t="str">
        <x:v>SOC-040; SOC-041; SOC-042; SOC-045; SOC-046; SOC-047; SOC-048</x:v>
      </x:c>
      <x:c r="C55" s="43" t="str">
        <x:v>Status, Reputation &amp; Relational Power</x:v>
      </x:c>
      <x:c r="D55" s="43" t="str">
        <x:v>Anderson &amp; Brion (2014) — Perspectives on Power in Organizations</x:v>
      </x:c>
      <x:c r="E55" s="43" t="n">
        <x:v>2014</x:v>
      </x:c>
      <x:c r="F55" s="43" t="str">
        <x:v>Annual review</x:v>
      </x:c>
      <x:c r="G55" s="43" t="str">
        <x:v>Populations represented in the included literature; countries, ages, settings, and sampling frames vary by source.</x:v>
      </x:c>
      <x:c r="H55" s="43" t="str">
        <x:v>Reviews acquisition, maintenance, and loss of power and distinguishes relational control, hierarchy, status, and dynamic power processes.</x:v>
      </x:c>
      <x:c r="I55" s="43" t="str">
        <x:v>Construct- and relationship-specific; see the finding, limitations, and linked Relationships or migration records.</x:v>
      </x:c>
      <x:c r="J55" s="43" t="str">
        <x:v>Organizational settings dominate; power manifestations and legitimacy vary across roles, cultures, and resource domains.</x:v>
      </x:c>
      <x:c r="K55" s="43" t="str">
        <x:v>Strong</x:v>
      </x:c>
      <x:c r="L55" s="43" t="str">
        <x:v>https://doi.org/10.1146/annurev-orgpsych-031413-091259</x:v>
      </x:c>
      <x:c r="M55" s="43" t="str">
        <x:v>Bibliographic metadata and persistent URL were verified against an authoritative publisher, index, or repository during the 2026-08-26 Layer 3 reconstruction. This is representative evidence, not a new formal systematic-review extraction.</x:v>
      </x:c>
    </x:row>
    <x:row r="56" ht="72" customHeight="1">
      <x:c r="A56" s="43" t="str">
        <x:v>SRC259</x:v>
      </x:c>
      <x:c r="B56" s="43" t="str">
        <x:v>SOC-065; SOC-073</x:v>
      </x:c>
      <x:c r="C56" s="43" t="str">
        <x:v>Group Composition, Cohesion &amp; Deliberation; Coordination, Accountability &amp; Collective Capacity</x:v>
      </x:c>
      <x:c r="D56" s="43" t="str">
        <x:v>Grossman, Nolan, Rosch, Mazer &amp; Salas (2022) — The Team Cohesion–Performance Relationship: A Meta-Analysis Exploring Measurement Approaches and the Changing Team Landscape</x:v>
      </x:c>
      <x:c r="E56" s="43" t="n">
        <x:v>2022</x:v>
      </x:c>
      <x:c r="F56" s="43" t="str">
        <x:v>Meta-analysis</x:v>
      </x:c>
      <x:c r="G56" s="43" t="str">
        <x:v>Populations represented in the included literature; countries, ages, settings, and sampling frames vary by source.</x:v>
      </x:c>
      <x:c r="H56" s="43" t="str">
        <x:v>Across 195 effects and 12,023 participants, cohesion–performance associations vary by cohesion dimension, referent, proximity, and outcome measurement.</x:v>
      </x:c>
      <x:c r="I56" s="43" t="str">
        <x:v>Construct- and relationship-specific; see the finding, limitations, and linked Relationships or migration records.</x:v>
      </x:c>
      <x:c r="J56" s="43" t="str">
        <x:v>Predominantly correlational primary studies; common method, temporal ordering, task context, and construct operationalization remain important.</x:v>
      </x:c>
      <x:c r="K56" s="43" t="str">
        <x:v>Strong</x:v>
      </x:c>
      <x:c r="L56" s="43" t="str">
        <x:v>https://doi.org/10.1177/20413866211041157</x:v>
      </x:c>
      <x:c r="M56" s="43" t="str">
        <x:v>Bibliographic metadata and persistent URL were verified against an authoritative publisher, index, or repository during the 2026-08-26 Layer 3 reconstruction. This is representative evidence, not a new formal systematic-review extraction.</x:v>
      </x:c>
    </x:row>
    <x:row r="57" ht="72" customHeight="1">
      <x:c r="A57" s="43" t="str">
        <x:v>SRC260</x:v>
      </x:c>
      <x:c r="B57" s="43" t="str">
        <x:v>SOC-054; SOC-057; SOC-095</x:v>
      </x:c>
      <x:c r="C57" s="43" t="str">
        <x:v>Network Structure &amp; Position; Intergroup Contact, Boundaries &amp; Competition</x:v>
      </x:c>
      <x:c r="D57" s="43" t="str">
        <x:v>Newman (2002) — Assortative Mixing in Networks</x:v>
      </x:c>
      <x:c r="E57" s="43" t="n">
        <x:v>2002</x:v>
      </x:c>
      <x:c r="F57" s="43" t="str">
        <x:v>Methodological and empirical article</x:v>
      </x:c>
      <x:c r="G57" s="43" t="str">
        <x:v>Primarily human participant samples in the cited research; consult the source for exact population, setting, network boundary, and sampling details.</x:v>
      </x:c>
      <x:c r="H57" s="43" t="str">
        <x:v>Defines assortative mixing, demonstrates systematic differences across network types, and connects mixing patterns to robustness and diffusion-relevant structure.</x:v>
      </x:c>
      <x:c r="I57" s="43" t="str">
        <x:v>Construct- and relationship-specific; see the finding, limitations, and linked Relationships or migration records.</x:v>
      </x:c>
      <x:c r="J57" s="43" t="str">
        <x:v>Degree assortativity is not equivalent to attribute homophily, and single coefficients can obscure unequal group sizes or asymmetric mixing.</x:v>
      </x:c>
      <x:c r="K57" s="43" t="str">
        <x:v>Strong</x:v>
      </x:c>
      <x:c r="L57" s="43" t="str">
        <x:v>https://doi.org/10.1103/PhysRevLett.89.208701</x:v>
      </x:c>
      <x:c r="M57" s="43" t="str">
        <x:v>Bibliographic metadata and persistent URL were verified against an authoritative publisher, index, or repository during the 2026-08-26 Layer 3 reconstruction. This is representative evidence, not a new formal systematic-review extraction.</x:v>
      </x:c>
    </x:row>
    <x:row r="58" ht="72" customHeight="1">
      <x:c r="A58" s="43" t="str">
        <x:v>SRC261</x:v>
      </x:c>
      <x:c r="B58" s="43" t="str">
        <x:v>SOC-073; SOC-074; SOC-075</x:v>
      </x:c>
      <x:c r="C58" s="43" t="str">
        <x:v>Coordination, Accountability &amp; Collective Capacity</x:v>
      </x:c>
      <x:c r="D58" s="43" t="str">
        <x:v>LePine, Piccolo, Jackson, Mathieu &amp; Saul (2008) — A Meta-Analysis of Teamwork Processes</x:v>
      </x:c>
      <x:c r="E58" s="43" t="n">
        <x:v>2008</x:v>
      </x:c>
      <x:c r="F58" s="43" t="str">
        <x:v>Meta-analysis</x:v>
      </x:c>
      <x:c r="G58" s="43" t="str">
        <x:v>Populations represented in the included literature; countries, ages, settings, and sampling frames vary by source.</x:v>
      </x:c>
      <x:c r="H58" s="43" t="str">
        <x:v>Supports a multidimensional hierarchy of teamwork processes and relationships between transition, action, interpersonal processes, and team effectiveness criteria.</x:v>
      </x:c>
      <x:c r="I58" s="43" t="str">
        <x:v>Construct- and relationship-specific; see the finding, limitations, and linked Relationships or migration records.</x:v>
      </x:c>
      <x:c r="J58" s="43" t="str">
        <x:v>Studies vary in team type, interdependence, performance criterion, design, and common-method risk; associations are not universal causal effects.</x:v>
      </x:c>
      <x:c r="K58" s="43" t="str">
        <x:v>Strong</x:v>
      </x:c>
      <x:c r="L58" s="43" t="str">
        <x:v>https://doi.org/10.1111/j.1744-6570.2008.00114.x</x:v>
      </x:c>
      <x:c r="M58" s="43" t="str">
        <x:v>Bibliographic metadata and persistent URL were verified against an authoritative publisher, index, or repository during the 2026-08-26 Layer 3 reconstruction. This is representative evidence, not a new formal systematic-review extraction.</x:v>
      </x:c>
    </x:row>
    <x:row r="59" ht="72" customHeight="1">
      <x:c r="A59" s="43" t="str">
        <x:v>SRC262</x:v>
      </x:c>
      <x:c r="B59" s="43" t="str">
        <x:v>SOC-064; SOC-065; SOC-066; SOC-067; SOC-073; SOC-078</x:v>
      </x:c>
      <x:c r="C59" s="43" t="str">
        <x:v>Group Composition, Cohesion &amp; Deliberation; Coordination, Accountability &amp; Collective Capacity</x:v>
      </x:c>
      <x:c r="D59" s="43" t="str">
        <x:v>Mathieu, Maynard, Rapp &amp; Gilson (2008) — Team Effectiveness 1997–2007: A Review of Recent Advancements and a Glimpse Into the Future</x:v>
      </x:c>
      <x:c r="E59" s="43" t="n">
        <x:v>2008</x:v>
      </x:c>
      <x:c r="F59" s="43" t="str">
        <x:v>Comprehensive review</x:v>
      </x:c>
      <x:c r="G59" s="43" t="str">
        <x:v>Populations represented in the included literature; countries, ages, settings, and sampling frames vary by source.</x:v>
      </x:c>
      <x:c r="H59" s="43" t="str">
        <x:v>Synthesizes team inputs, mediating processes and emergent states, and outcomes, emphasizing context, temporal dynamics, and multilevel distinctions.</x:v>
      </x:c>
      <x:c r="I59" s="43" t="str">
        <x:v>Construct- and relationship-specific; see the finding, limitations, and linked Relationships or migration records.</x:v>
      </x:c>
      <x:c r="J59" s="43" t="str">
        <x:v>Work-team research is heterogeneous and frequently observational; constructs should not be collapsed across inputs, processes, emergent states, and outcomes.</x:v>
      </x:c>
      <x:c r="K59" s="43" t="str">
        <x:v>Strong</x:v>
      </x:c>
      <x:c r="L59" s="43" t="str">
        <x:v>https://doi.org/10.1177/0149206308316061</x:v>
      </x:c>
      <x:c r="M59" s="43" t="str">
        <x:v>Bibliographic metadata and persistent URL were verified against an authoritative publisher, index, or repository during the 2026-08-26 Layer 3 reconstruction. This is representative evidence, not a new formal systematic-review extraction.</x:v>
      </x:c>
    </x:row>
    <x:row r="60" ht="72" customHeight="1">
      <x:c r="A60" s="43" t="str">
        <x:v>SRC263</x:v>
      </x:c>
      <x:c r="B60" s="43" t="str">
        <x:v>SOC-070; SOC-071</x:v>
      </x:c>
      <x:c r="C60" s="43" t="str">
        <x:v>Group Composition, Cohesion &amp; Deliberation</x:v>
      </x:c>
      <x:c r="D60" s="43" t="str">
        <x:v>Mesmer-Magnus &amp; DeChurch (2009) — Information Sharing and Team Performance: A Meta-Analysis</x:v>
      </x:c>
      <x:c r="E60" s="43" t="n">
        <x:v>2009</x:v>
      </x:c>
      <x:c r="F60" s="43" t="str">
        <x:v>Meta-analysis</x:v>
      </x:c>
      <x:c r="G60" s="43" t="str">
        <x:v>Populations represented in the included literature; countries, ages, settings, and sampling frames vary by source.</x:v>
      </x:c>
      <x:c r="H60" s="43" t="str">
        <x:v>Across 72 studies, information sharing is related to team performance, cohesion, decision satisfaction, and knowledge integration, with meaningful moderators.</x:v>
      </x:c>
      <x:c r="I60" s="43" t="str">
        <x:v>Construct- and relationship-specific; see the finding, limitations, and linked Relationships or migration records.</x:v>
      </x:c>
      <x:c r="J60" s="43" t="str">
        <x:v>Information uniqueness, openness, task type, virtuality, and common method affect estimates; shared-information coverage remains context specific.</x:v>
      </x:c>
      <x:c r="K60" s="43" t="str">
        <x:v>Strong</x:v>
      </x:c>
      <x:c r="L60" s="43" t="str">
        <x:v>https://doi.org/10.1037/a0013773</x:v>
      </x:c>
      <x:c r="M60" s="43" t="str">
        <x:v>Bibliographic metadata and persistent URL were verified against an authoritative publisher, index, or repository during the 2026-08-26 Layer 3 reconstruction. This is representative evidence, not a new formal systematic-review extraction.</x:v>
      </x:c>
    </x:row>
    <x:row r="61" ht="72" customHeight="1">
      <x:c r="A61" s="43" t="str">
        <x:v>SRC264</x:v>
      </x:c>
      <x:c r="B61" s="43" t="str">
        <x:v>SOC-026; SOC-027; SOC-028</x:v>
      </x:c>
      <x:c r="C61" s="43" t="str">
        <x:v>Inclusion, Support &amp; Social Integration</x:v>
      </x:c>
      <x:c r="D61" s="43" t="str">
        <x:v>House, Landis &amp; Umberson (1988) — Social Relationships and Health</x:v>
      </x:c>
      <x:c r="E61" s="43" t="n">
        <x:v>1988</x:v>
      </x:c>
      <x:c r="F61" s="43" t="str">
        <x:v>Scientific review</x:v>
      </x:c>
      <x:c r="G61" s="43" t="str">
        <x:v>Populations represented in the included literature; countries, ages, settings, and sampling frames vary by source.</x:v>
      </x:c>
      <x:c r="H61" s="43" t="str">
        <x:v>Synthesizes evidence that social relationships and integration are consequential for health-relevant pathways and distinguishes structural and functional aspects.</x:v>
      </x:c>
      <x:c r="I61" s="43" t="str">
        <x:v>Construct- and relationship-specific; see the finding, limitations, and linked Relationships or migration records.</x:v>
      </x:c>
      <x:c r="J61" s="43" t="str">
        <x:v>The reviewed evidence does not reduce to one causal pathway; confounding, selection, relationship quality, and historical measurement remain important.</x:v>
      </x:c>
      <x:c r="K61" s="43" t="str">
        <x:v>Strong</x:v>
      </x:c>
      <x:c r="L61" s="43" t="str">
        <x:v>https://doi.org/10.1126/science.3399889</x:v>
      </x:c>
      <x:c r="M61" s="43" t="str">
        <x:v>Bibliographic metadata and persistent URL were verified against an authoritative publisher, index, or repository during the 2026-08-26 Layer 3 reconstruction. This is representative evidence, not a new formal systematic-review extraction.</x:v>
      </x:c>
    </x:row>
    <x:row r="62" ht="72" customHeight="1">
      <x:c r="A62" s="43" t="str">
        <x:v>SRC265</x:v>
      </x:c>
      <x:c r="B62" s="43" t="str">
        <x:v>SOC-075; SOC-076</x:v>
      </x:c>
      <x:c r="C62" s="43" t="str">
        <x:v>Coordination, Accountability &amp; Collective Capacity</x:v>
      </x:c>
      <x:c r="D62" s="43" t="str">
        <x:v>Thomas, DeScioli, Haque &amp; Pinker (2014) — The Psychology of Coordination and Common Knowledge</x:v>
      </x:c>
      <x:c r="E62" s="43" t="n">
        <x:v>2014</x:v>
      </x:c>
      <x:c r="F62" s="43" t="str">
        <x:v>Experimental article</x:v>
      </x:c>
      <x:c r="G62" s="43" t="str">
        <x:v>Primarily human participant samples in the cited research; consult the source for exact population, setting, network boundary, and sampling details.</x:v>
      </x:c>
      <x:c r="H62" s="43" t="str">
        <x:v>Experiments show that common knowledge differs behaviorally from merely private or shared knowledge in coordination dilemmas.</x:v>
      </x:c>
      <x:c r="I62" s="43" t="str">
        <x:v>Construct- and relationship-specific; see the finding, limitations, and linked Relationships or migration records.</x:v>
      </x:c>
      <x:c r="J62" s="43" t="str">
        <x:v>Laboratory coordination games simplify real social systems; recursive knowledge can be difficult to observe and may be approximated by public signals.</x:v>
      </x:c>
      <x:c r="K62" s="43" t="str">
        <x:v>Strong</x:v>
      </x:c>
      <x:c r="L62" s="43" t="str">
        <x:v>https://doi.org/10.1037/a0037037</x:v>
      </x:c>
      <x:c r="M62" s="43" t="str">
        <x:v>Bibliographic metadata and persistent URL were verified against an authoritative publisher, index, or repository during the 2026-08-26 Layer 3 reconstruction. This is representative evidence, not a new formal systematic-review extraction.</x:v>
      </x:c>
    </x:row>
    <x:row r="63" ht="72" customHeight="1">
      <x:c r="A63" s="43" t="str">
        <x:v>SRC266</x:v>
      </x:c>
      <x:c r="B63" s="43" t="str">
        <x:v>SOC-090</x:v>
      </x:c>
      <x:c r="C63" s="43" t="str">
        <x:v>Intergroup Contact, Boundaries &amp; Competition</x:v>
      </x:c>
      <x:c r="D63" s="43" t="str">
        <x:v>Davies, Tropp, Aron, Pettigrew &amp; Wright (2011) — Cross-Group Friendships and Intergroup Attitudes: A Meta-Analytic Review</x:v>
      </x:c>
      <x:c r="E63" s="43" t="n">
        <x:v>2011</x:v>
      </x:c>
      <x:c r="F63" s="43" t="str">
        <x:v>Meta-analysis</x:v>
      </x:c>
      <x:c r="G63" s="43" t="str">
        <x:v>Populations represented in the included literature; countries, ages, settings, and sampling frames vary by source.</x:v>
      </x:c>
      <x:c r="H63" s="43" t="str">
        <x:v>Finds reliable relationships between cross-group friendships and more favorable intergroup attitudes and examines operationalizations and moderators.</x:v>
      </x:c>
      <x:c r="I63" s="43" t="str">
        <x:v>Construct- and relationship-specific; see the finding, limitations, and linked Relationships or migration records.</x:v>
      </x:c>
      <x:c r="J63" s="43" t="str">
        <x:v>Much of the evidence is correlational and vulnerable to selection into friendship; friendship form and target of generalization differ across studies.</x:v>
      </x:c>
      <x:c r="K63" s="43" t="str">
        <x:v>Strong</x:v>
      </x:c>
      <x:c r="L63" s="43" t="str">
        <x:v>https://doi.org/10.1177/1088868311411103</x:v>
      </x:c>
      <x:c r="M63" s="43" t="str">
        <x:v>Bibliographic metadata and persistent URL were verified against an authoritative publisher, index, or repository during the 2026-08-26 Layer 3 reconstruction. This is representative evidence, not a new formal systematic-review extraction.</x:v>
      </x:c>
    </x:row>
    <x:row r="64" ht="72" customHeight="1">
      <x:c r="A64" s="43" t="str">
        <x:v>SRC267</x:v>
      </x:c>
      <x:c r="B64" s="43" t="str">
        <x:v>SOC-067; SOC-070; SOC-071; SOC-072; SOC-074; SOC-078; SOC-081</x:v>
      </x:c>
      <x:c r="C64" s="43" t="str">
        <x:v>Group Composition, Cohesion &amp; Deliberation; Coordination, Accountability &amp; Collective Capacity</x:v>
      </x:c>
      <x:c r="D64" s="43" t="str">
        <x:v>Kerr &amp; Tindale (2004) — Group Performance and Decision Making</x:v>
      </x:c>
      <x:c r="E64" s="43" t="n">
        <x:v>2004</x:v>
      </x:c>
      <x:c r="F64" s="43" t="str">
        <x:v>Annual review</x:v>
      </x:c>
      <x:c r="G64" s="43" t="str">
        <x:v>Populations represented in the included literature; countries, ages, settings, and sampling frames vary by source.</x:v>
      </x:c>
      <x:c r="H64" s="43" t="str">
        <x:v>Reviews group motivation, information processing, shared cognition, process gains, and process losses relevant to composition, deliberation, and coordination.</x:v>
      </x:c>
      <x:c r="I64" s="43" t="str">
        <x:v>Construct- and relationship-specific; see the finding, limitations, and linked Relationships or migration records.</x:v>
      </x:c>
      <x:c r="J64" s="43" t="str">
        <x:v>Many findings depend on task demonstrability, group size, decision rules, information distribution, and laboratory versus field setting.</x:v>
      </x:c>
      <x:c r="K64" s="43" t="str">
        <x:v>Strong</x:v>
      </x:c>
      <x:c r="L64" s="43" t="str">
        <x:v>https://doi.org/10.1146/annurev.psych.55.090902.142009</x:v>
      </x:c>
      <x:c r="M64" s="43" t="str">
        <x:v>Bibliographic metadata and persistent URL were verified against an authoritative publisher, index, or repository during the 2026-08-26 Layer 3 reconstruction. This is representative evidence, not a new formal systematic-review extraction.</x:v>
      </x:c>
    </x:row>
    <x:row r="65" ht="72" customHeight="1">
      <x:c r="A65" s="43" t="str">
        <x:v>SRC268</x:v>
      </x:c>
      <x:c r="B65" s="43" t="str">
        <x:v>SOC-088; SOC-089; SOC-091; SOC-094</x:v>
      </x:c>
      <x:c r="C65" s="43" t="str">
        <x:v>Intergroup Contact, Boundaries &amp; Competition</x:v>
      </x:c>
      <x:c r="D65" s="43" t="str">
        <x:v>Pettigrew (1998) — Intergroup Contact Theory</x:v>
      </x:c>
      <x:c r="E65" s="43" t="n">
        <x:v>1998</x:v>
      </x:c>
      <x:c r="F65" s="43" t="str">
        <x:v>Annual review</x:v>
      </x:c>
      <x:c r="G65" s="43" t="str">
        <x:v>Populations represented in the included literature; countries, ages, settings, and sampling frames vary by source.</x:v>
      </x:c>
      <x:c r="H65" s="43" t="str">
        <x:v>Distinguishes contact amount, friendship, cooperation, equal status, authority support, selection bias, and processes through which contact may generalize.</x:v>
      </x:c>
      <x:c r="I65" s="43" t="str">
        <x:v>Construct- and relationship-specific; see the finding, limitations, and linked Relationships or migration records.</x:v>
      </x:c>
      <x:c r="J65" s="43" t="str">
        <x:v>Cross-sectional contact is vulnerable to selection, and contact can be negative; facilitating conditions and generalization require explicit assessment.</x:v>
      </x:c>
      <x:c r="K65" s="43" t="str">
        <x:v>Strong</x:v>
      </x:c>
      <x:c r="L65" s="43" t="str">
        <x:v>https://doi.org/10.1146/annurev.psych.49.1.65</x:v>
      </x:c>
      <x:c r="M65" s="43" t="str">
        <x:v>Bibliographic metadata and persistent URL were verified against an authoritative publisher, index, or repository during the 2026-08-26 Layer 3 reconstruction. This is representative evidence, not a new formal systematic-review extraction.</x:v>
      </x:c>
    </x:row>
    <x:row r="66" ht="72" customHeight="1">
      <x:c r="A66" s="43" t="str">
        <x:v>SRC269</x:v>
      </x:c>
      <x:c r="B66" s="43" t="str">
        <x:v>SOC-050; SOC-055; SOC-056; SOC-063</x:v>
      </x:c>
      <x:c r="C66" s="43" t="str">
        <x:v>Network Structure &amp; Position; Network Exposure &amp; Social Diffusion</x:v>
      </x:c>
      <x:c r="D66" s="43" t="str">
        <x:v>Kwon, Rondi, Levin, De Massis &amp; Brass (2020) — Network Brokerage: An Integrative Review and Future Research Agenda</x:v>
      </x:c>
      <x:c r="E66" s="43" t="n">
        <x:v>2020</x:v>
      </x:c>
      <x:c r="F66" s="43" t="str">
        <x:v>Integrative review</x:v>
      </x:c>
      <x:c r="G66" s="43" t="str">
        <x:v>Populations represented in the included literature; countries, ages, settings, and sampling frames vary by source.</x:v>
      </x:c>
      <x:c r="H66" s="43" t="str">
        <x:v>Separates brokerage structure from brokerage behavior and synthesizes antecedents, outcomes, moderators, and temporal dynamics.</x:v>
      </x:c>
      <x:c r="I66" s="43" t="str">
        <x:v>Construct- and relationship-specific; see the finding, limitations, and linked Relationships or migration records.</x:v>
      </x:c>
      <x:c r="J66" s="43" t="str">
        <x:v>Brokerage benefits and costs vary by network relation, behavior, standing, organizational context, and whether structural opportunity is actually used.</x:v>
      </x:c>
      <x:c r="K66" s="43" t="str">
        <x:v>Strong</x:v>
      </x:c>
      <x:c r="L66" s="43" t="str">
        <x:v>https://doi.org/10.1177/0149206320914694</x:v>
      </x:c>
      <x:c r="M66" s="43" t="str">
        <x:v>Bibliographic metadata and persistent URL were verified against an authoritative publisher, index, or repository during the 2026-08-26 Layer 3 reconstruction. This is representative evidence, not a new formal systematic-review extraction.</x:v>
      </x:c>
    </x:row>
    <x:row r="67" ht="72" customHeight="1">
      <x:c r="A67" s="43" t="str">
        <x:v>SRC270</x:v>
      </x:c>
      <x:c r="B67" s="43" t="str">
        <x:v>SOC-054; SOC-057</x:v>
      </x:c>
      <x:c r="C67" s="43" t="str">
        <x:v>Network Structure &amp; Position</x:v>
      </x:c>
      <x:c r="D67" s="43" t="str">
        <x:v>Shalizi &amp; Thomas (2011) — Homophily and Contagion Are Generically Confounded in Observational Social Network Studies</x:v>
      </x:c>
      <x:c r="E67" s="43" t="n">
        <x:v>2011</x:v>
      </x:c>
      <x:c r="F67" s="43" t="str">
        <x:v>Causal-inference analysis</x:v>
      </x:c>
      <x:c r="G67" s="43" t="str">
        <x:v>Primarily human participant samples in the cited research; consult the source for exact population, setting, network boundary, and sampling details.</x:v>
      </x:c>
      <x:c r="H67" s="43" t="str">
        <x:v>Demonstrates that homophily, social contagion, and covariate effects are generically confounded in observational network data without strong assumptions or designs.</x:v>
      </x:c>
      <x:c r="I67" s="43" t="str">
        <x:v>Construct- and relationship-specific; see the finding, limitations, and linked Relationships or migration records.</x:v>
      </x:c>
      <x:c r="J67" s="43" t="str">
        <x:v>The article establishes an identification problem rather than estimating the size of a particular social influence effect.</x:v>
      </x:c>
      <x:c r="K67" s="43" t="str">
        <x:v>Strong</x:v>
      </x:c>
      <x:c r="L67" s="43" t="str">
        <x:v>https://doi.org/10.1177/0049124111404820</x:v>
      </x:c>
      <x:c r="M67" s="43" t="str">
        <x:v>Bibliographic metadata and persistent URL were verified against an authoritative publisher, index, or repository during the 2026-08-26 Layer 3 reconstruction. This is representative evidence, not a new formal systematic-review extraction.</x:v>
      </x:c>
    </x:row>
    <x:row r="68" ht="72" customHeight="1">
      <x:c r="A68" s="43" t="str">
        <x:v>SRC271</x:v>
      </x:c>
      <x:c r="B68" s="43" t="str">
        <x:v>SOC-068; SOC-069</x:v>
      </x:c>
      <x:c r="C68" s="43" t="str">
        <x:v>Group Composition, Cohesion &amp; Deliberation</x:v>
      </x:c>
      <x:c r="D68" s="43" t="str">
        <x:v>Nemeth (1986) — Differential Contributions of Majority and Minority Influence</x:v>
      </x:c>
      <x:c r="E68" s="43" t="n">
        <x:v>1986</x:v>
      </x:c>
      <x:c r="F68" s="43" t="str">
        <x:v>Theoretical and experimental review</x:v>
      </x:c>
      <x:c r="G68" s="43" t="str">
        <x:v>Populations represented in the included literature; countries, ages, settings, and sampling frames vary by source.</x:v>
      </x:c>
      <x:c r="H68" s="43" t="str">
        <x:v>Distinguishes convergence under majority influence from the broader search and divergent consideration often prompted by consistent minority dissent.</x:v>
      </x:c>
      <x:c r="I68" s="43" t="str">
        <x:v>Construct- and relationship-specific; see the finding, limitations, and linked Relationships or migration records.</x:v>
      </x:c>
      <x:c r="J68" s="43" t="str">
        <x:v>Evidence is concentrated in controlled tasks; outcomes depend on response privacy, task, minority consistency, and social relationship.</x:v>
      </x:c>
      <x:c r="K68" s="43" t="str">
        <x:v>Moderate</x:v>
      </x:c>
      <x:c r="L68" s="43" t="str">
        <x:v>https://doi.org/10.1037/0033-295X.93.1.23</x:v>
      </x:c>
      <x:c r="M68" s="43" t="str">
        <x:v>Bibliographic metadata and persistent URL were verified against an authoritative publisher, index, or repository during the 2026-08-26 Layer 3 reconstruction. This is representative evidence, not a new formal systematic-review extraction.</x:v>
      </x:c>
    </x:row>
    <x:row r="69" ht="72" customHeight="1">
      <x:c r="A69" s="43" t="str">
        <x:v>SRC272</x:v>
      </x:c>
      <x:c r="B69" s="43" t="str">
        <x:v>SOC-025; SOC-032</x:v>
      </x:c>
      <x:c r="C69" s="43" t="str">
        <x:v>Inclusion, Support &amp; Social Integration</x:v>
      </x:c>
      <x:c r="D69" s="43" t="str">
        <x:v>Holt-Lunstad, Smith, Baker, Harris &amp; Stephenson (2015) — Loneliness and Social Isolation as Risk Factors for Mortality: A Meta-Analytic Review</x:v>
      </x:c>
      <x:c r="E69" s="43" t="n">
        <x:v>2015</x:v>
      </x:c>
      <x:c r="F69" s="43" t="str">
        <x:v>Meta-analysis</x:v>
      </x:c>
      <x:c r="G69" s="43" t="str">
        <x:v>Populations represented in the included literature; countries, ages, settings, and sampling frames vary by source.</x:v>
      </x:c>
      <x:c r="H69" s="43" t="str">
        <x:v>Separately synthesizes objective social isolation, loneliness, and living alone, supporting their treatment as distinguishable constructs.</x:v>
      </x:c>
      <x:c r="I69" s="43" t="str">
        <x:v>Construct- and relationship-specific; see the finding, limitations, and linked Relationships or migration records.</x:v>
      </x:c>
      <x:c r="J69" s="43" t="str">
        <x:v>Mortality is a distal outcome; included studies are observational and measures of isolation, loneliness, and living arrangements vary.</x:v>
      </x:c>
      <x:c r="K69" s="43" t="str">
        <x:v>Strong</x:v>
      </x:c>
      <x:c r="L69" s="43" t="str">
        <x:v>https://doi.org/10.1177/1745691614568352</x:v>
      </x:c>
      <x:c r="M69" s="43" t="str">
        <x:v>Bibliographic metadata and persistent URL were verified against an authoritative publisher, index, or repository during the 2026-08-26 Layer 3 reconstruction. This is representative evidence, not a new formal systematic-review extraction.</x:v>
      </x:c>
    </x:row>
    <x:row r="70" ht="72" customHeight="1">
      <x:c r="A70" s="43" t="str">
        <x:v>SRC273</x:v>
      </x:c>
      <x:c r="B70" s="43" t="str">
        <x:v>SOC-091; SOC-092; SOC-093; SOC-094; SOC-096; SOC-097</x:v>
      </x:c>
      <x:c r="C70" s="43" t="str">
        <x:v>Intergroup Contact, Boundaries &amp; Competition</x:v>
      </x:c>
      <x:c r="D70" s="43" t="str">
        <x:v>Hewstone, Rubin &amp; Willis (2002) — Intergroup Bias</x:v>
      </x:c>
      <x:c r="E70" s="43" t="n">
        <x:v>2002</x:v>
      </x:c>
      <x:c r="F70" s="43" t="str">
        <x:v>Annual review</x:v>
      </x:c>
      <x:c r="G70" s="43" t="str">
        <x:v>Populations represented in the included literature; countries, ages, settings, and sampling frames vary by source.</x:v>
      </x:c>
      <x:c r="H70" s="43" t="str">
        <x:v>Reviews measurement, motivational accounts, status, power, threat, categorization, and conditions affecting intergroup bias and conflict.</x:v>
      </x:c>
      <x:c r="I70" s="43" t="str">
        <x:v>Construct- and relationship-specific; see the finding, limitations, and linked Relationships or migration records.</x:v>
      </x:c>
      <x:c r="J70" s="43" t="str">
        <x:v>The review addresses psychological bias as well as social conditions; external competition, contact, inequality, and boundaries must remain distinct from appraisals.</x:v>
      </x:c>
      <x:c r="K70" s="43" t="str">
        <x:v>Strong</x:v>
      </x:c>
      <x:c r="L70" s="43" t="str">
        <x:v>https://doi.org/10.1146/annurev.psych.53.100901.135109</x:v>
      </x:c>
      <x:c r="M70" s="43" t="str">
        <x:v>Bibliographic metadata and persistent URL were verified against an authoritative publisher, index, or repository during the 2026-08-26 Layer 3 reconstruction. This is representative evidence, not a new formal systematic-review extraction.</x:v>
      </x:c>
    </x:row>
    <x:row r="71" ht="68" customHeight="1">
      <x:c r="A71"/>
      <x:c r="B71"/>
      <x:c r="C71"/>
      <x:c r="D71"/>
      <x:c r="E71"/>
      <x:c r="F71"/>
      <x:c r="G71"/>
      <x:c r="H71"/>
      <x:c r="I71"/>
      <x:c r="J71"/>
      <x:c r="K71"/>
      <x:c r="L71"/>
      <x:c r="M71"/>
    </x:row>
    <x:row r="72" ht="68" customHeight="1">
      <x:c r="A72"/>
      <x:c r="B72"/>
      <x:c r="C72"/>
      <x:c r="D72"/>
      <x:c r="E72"/>
      <x:c r="F72"/>
      <x:c r="G72"/>
      <x:c r="H72"/>
      <x:c r="I72"/>
      <x:c r="J72"/>
      <x:c r="K72"/>
      <x:c r="L72"/>
      <x:c r="M72"/>
    </x:row>
    <x:row r="73" ht="68" customHeight="1">
      <x:c r="A73"/>
      <x:c r="B73"/>
      <x:c r="C73"/>
      <x:c r="D73"/>
      <x:c r="E73"/>
      <x:c r="F73"/>
      <x:c r="G73"/>
      <x:c r="H73"/>
      <x:c r="I73"/>
      <x:c r="J73"/>
      <x:c r="K73"/>
      <x:c r="L73"/>
      <x:c r="M73"/>
    </x:row>
    <x:row r="74" ht="68" customHeight="1">
      <x:c r="A74"/>
      <x:c r="B74"/>
      <x:c r="C74"/>
      <x:c r="D74"/>
      <x:c r="E74"/>
      <x:c r="F74"/>
      <x:c r="G74"/>
      <x:c r="H74"/>
      <x:c r="I74"/>
      <x:c r="J74"/>
      <x:c r="K74"/>
      <x:c r="L74"/>
      <x:c r="M74"/>
    </x:row>
    <x:row r="75" ht="68" customHeight="1">
      <x:c r="A75"/>
      <x:c r="B75"/>
      <x:c r="C75"/>
      <x:c r="D75"/>
      <x:c r="E75"/>
      <x:c r="F75"/>
      <x:c r="G75"/>
      <x:c r="H75"/>
      <x:c r="I75"/>
      <x:c r="J75"/>
      <x:c r="K75"/>
      <x:c r="L75"/>
      <x:c r="M75"/>
    </x:row>
    <x:row r="76" ht="68" customHeight="1">
      <x:c r="A76"/>
      <x:c r="B76"/>
      <x:c r="C76"/>
      <x:c r="D76"/>
      <x:c r="E76"/>
      <x:c r="F76"/>
      <x:c r="G76"/>
      <x:c r="H76"/>
      <x:c r="I76"/>
      <x:c r="J76"/>
      <x:c r="K76"/>
      <x:c r="L76"/>
      <x:c r="M76"/>
    </x:row>
    <x:row r="77" ht="68" customHeight="1">
      <x:c r="A77"/>
      <x:c r="B77"/>
      <x:c r="C77"/>
      <x:c r="D77"/>
      <x:c r="E77"/>
      <x:c r="F77"/>
      <x:c r="G77"/>
      <x:c r="H77"/>
      <x:c r="I77"/>
      <x:c r="J77"/>
      <x:c r="K77"/>
      <x:c r="L77"/>
      <x:c r="M77"/>
    </x:row>
    <x:row r="78" ht="68" customHeight="1">
      <x:c r="A78"/>
      <x:c r="B78"/>
      <x:c r="C78"/>
      <x:c r="D78"/>
      <x:c r="E78"/>
      <x:c r="F78"/>
      <x:c r="G78"/>
      <x:c r="H78"/>
      <x:c r="I78"/>
      <x:c r="J78"/>
      <x:c r="K78"/>
      <x:c r="L78"/>
      <x:c r="M78"/>
    </x:row>
    <x:row r="79" ht="68" customHeight="1">
      <x:c r="A79"/>
      <x:c r="B79"/>
      <x:c r="C79"/>
      <x:c r="D79"/>
      <x:c r="E79"/>
      <x:c r="F79"/>
      <x:c r="G79"/>
      <x:c r="H79"/>
      <x:c r="I79"/>
      <x:c r="J79"/>
      <x:c r="K79"/>
      <x:c r="L79"/>
      <x:c r="M79"/>
    </x:row>
    <x:row r="80" ht="68" customHeight="1">
      <x:c r="A80"/>
      <x:c r="B80"/>
      <x:c r="C80"/>
      <x:c r="D80"/>
      <x:c r="E80"/>
      <x:c r="F80"/>
      <x:c r="G80"/>
      <x:c r="H80"/>
      <x:c r="I80"/>
      <x:c r="J80"/>
      <x:c r="K80"/>
      <x:c r="L80"/>
      <x:c r="M80"/>
    </x:row>
    <x:row r="81" ht="68" customHeight="1">
      <x:c r="A81"/>
      <x:c r="B81"/>
      <x:c r="C81"/>
      <x:c r="D81"/>
      <x:c r="E81"/>
      <x:c r="F81"/>
      <x:c r="G81"/>
      <x:c r="H81"/>
      <x:c r="I81"/>
      <x:c r="J81"/>
      <x:c r="K81"/>
      <x:c r="L81"/>
      <x:c r="M81"/>
    </x:row>
    <x:row r="82" ht="68" customHeight="1">
      <x:c r="A82"/>
      <x:c r="B82"/>
      <x:c r="C82"/>
      <x:c r="D82"/>
      <x:c r="E82"/>
      <x:c r="F82"/>
      <x:c r="G82"/>
      <x:c r="H82"/>
      <x:c r="I82"/>
      <x:c r="J82"/>
      <x:c r="K82"/>
      <x:c r="L82"/>
      <x:c r="M82"/>
    </x:row>
    <x:row r="83" ht="68" customHeight="1">
      <x:c r="A83"/>
      <x:c r="B83"/>
      <x:c r="C83"/>
      <x:c r="D83"/>
      <x:c r="E83"/>
      <x:c r="F83"/>
      <x:c r="G83"/>
      <x:c r="H83"/>
      <x:c r="I83"/>
      <x:c r="J83"/>
      <x:c r="K83"/>
      <x:c r="L83"/>
      <x:c r="M83"/>
    </x:row>
    <x:row r="84" ht="68" customHeight="1">
      <x:c r="A84"/>
      <x:c r="B84"/>
      <x:c r="C84"/>
      <x:c r="D84"/>
      <x:c r="E84"/>
      <x:c r="F84"/>
      <x:c r="G84"/>
      <x:c r="H84"/>
      <x:c r="I84"/>
      <x:c r="J84"/>
      <x:c r="K84"/>
      <x:c r="L84"/>
      <x:c r="M84"/>
    </x:row>
    <x:row r="85" ht="68" customHeight="1">
      <x:c r="A85"/>
      <x:c r="B85"/>
      <x:c r="C85"/>
      <x:c r="D85"/>
      <x:c r="E85"/>
      <x:c r="F85"/>
      <x:c r="G85"/>
      <x:c r="H85"/>
      <x:c r="I85"/>
      <x:c r="J85"/>
      <x:c r="K85"/>
      <x:c r="L85"/>
      <x:c r="M85"/>
    </x:row>
    <x:row r="86" ht="68" customHeight="1">
      <x:c r="A86"/>
      <x:c r="B86"/>
      <x:c r="C86"/>
      <x:c r="D86"/>
      <x:c r="E86"/>
      <x:c r="F86"/>
      <x:c r="G86"/>
      <x:c r="H86"/>
      <x:c r="I86"/>
      <x:c r="J86"/>
      <x:c r="K86"/>
      <x:c r="L86"/>
      <x:c r="M86"/>
    </x:row>
    <x:row r="87" ht="68" customHeight="1">
      <x:c r="A87"/>
      <x:c r="B87"/>
      <x:c r="C87"/>
      <x:c r="D87"/>
      <x:c r="E87"/>
      <x:c r="F87"/>
      <x:c r="G87"/>
      <x:c r="H87"/>
      <x:c r="I87"/>
      <x:c r="J87"/>
      <x:c r="K87"/>
      <x:c r="L87"/>
      <x:c r="M87"/>
    </x:row>
    <x:row r="88" ht="68" customHeight="1">
      <x:c r="A88"/>
      <x:c r="B88"/>
      <x:c r="C88"/>
      <x:c r="D88"/>
      <x:c r="E88"/>
      <x:c r="F88"/>
      <x:c r="G88"/>
      <x:c r="H88"/>
      <x:c r="I88"/>
      <x:c r="J88"/>
      <x:c r="K88"/>
      <x:c r="L88"/>
      <x:c r="M88"/>
    </x:row>
    <x:row r="89" ht="68" customHeight="1">
      <x:c r="A89"/>
      <x:c r="B89"/>
      <x:c r="C89"/>
      <x:c r="D89"/>
      <x:c r="E89"/>
      <x:c r="F89"/>
      <x:c r="G89"/>
      <x:c r="H89"/>
      <x:c r="I89"/>
      <x:c r="J89"/>
      <x:c r="K89"/>
      <x:c r="L89"/>
      <x:c r="M89"/>
    </x:row>
    <x:row r="90" ht="68" customHeight="1">
      <x:c r="A90"/>
      <x:c r="B90"/>
      <x:c r="C90"/>
      <x:c r="D90"/>
      <x:c r="E90"/>
      <x:c r="F90"/>
      <x:c r="G90"/>
      <x:c r="H90"/>
      <x:c r="I90"/>
      <x:c r="J90"/>
      <x:c r="K90"/>
      <x:c r="L90"/>
      <x:c r="M90"/>
    </x:row>
    <x:row r="91" ht="68" customHeight="1">
      <x:c r="A91"/>
      <x:c r="B91"/>
      <x:c r="C91"/>
      <x:c r="D91"/>
      <x:c r="E91"/>
      <x:c r="F91"/>
      <x:c r="G91"/>
      <x:c r="H91"/>
      <x:c r="I91"/>
      <x:c r="J91"/>
      <x:c r="K91"/>
      <x:c r="L91"/>
      <x:c r="M91"/>
    </x:row>
    <x:row r="92" ht="68" customHeight="1">
      <x:c r="A92"/>
      <x:c r="B92"/>
      <x:c r="C92"/>
      <x:c r="D92"/>
      <x:c r="E92"/>
      <x:c r="F92"/>
      <x:c r="G92"/>
      <x:c r="H92"/>
      <x:c r="I92"/>
      <x:c r="J92"/>
      <x:c r="K92"/>
      <x:c r="L92"/>
      <x:c r="M92"/>
    </x:row>
    <x:row r="93" ht="68" customHeight="1">
      <x:c r="A93"/>
      <x:c r="B93"/>
      <x:c r="C93"/>
      <x:c r="D93"/>
      <x:c r="E93"/>
      <x:c r="F93"/>
      <x:c r="G93"/>
      <x:c r="H93"/>
      <x:c r="I93"/>
      <x:c r="J93"/>
      <x:c r="K93"/>
      <x:c r="L93"/>
      <x:c r="M93"/>
    </x:row>
    <x:row r="94" ht="68" customHeight="1">
      <x:c r="A94"/>
      <x:c r="B94"/>
      <x:c r="C94"/>
      <x:c r="D94"/>
      <x:c r="E94"/>
      <x:c r="F94"/>
      <x:c r="G94"/>
      <x:c r="H94"/>
      <x:c r="I94"/>
      <x:c r="J94"/>
      <x:c r="K94"/>
      <x:c r="L94"/>
      <x:c r="M94"/>
    </x:row>
    <x:row r="95" ht="68" customHeight="1">
      <x:c r="A95"/>
      <x:c r="B95"/>
      <x:c r="C95"/>
      <x:c r="D95"/>
      <x:c r="E95"/>
      <x:c r="F95"/>
      <x:c r="G95"/>
      <x:c r="H95"/>
      <x:c r="I95"/>
      <x:c r="J95"/>
      <x:c r="K95"/>
      <x:c r="L95"/>
      <x:c r="M95"/>
    </x:row>
    <x:row r="96" ht="68" customHeight="1">
      <x:c r="A96"/>
      <x:c r="B96"/>
      <x:c r="C96"/>
      <x:c r="D96"/>
      <x:c r="E96"/>
      <x:c r="F96"/>
      <x:c r="G96"/>
      <x:c r="H96"/>
      <x:c r="I96"/>
      <x:c r="J96"/>
      <x:c r="K96"/>
      <x:c r="L96"/>
      <x:c r="M96"/>
    </x:row>
    <x:row r="97" ht="68" customHeight="1">
      <x:c r="A97"/>
      <x:c r="B97"/>
      <x:c r="C97"/>
      <x:c r="D97"/>
      <x:c r="E97"/>
      <x:c r="F97"/>
      <x:c r="G97"/>
      <x:c r="H97"/>
      <x:c r="I97"/>
      <x:c r="J97"/>
      <x:c r="K97"/>
      <x:c r="L97"/>
      <x:c r="M97"/>
    </x:row>
    <x:row r="98" ht="68" customHeight="1">
      <x:c r="A98"/>
      <x:c r="B98"/>
      <x:c r="C98"/>
      <x:c r="D98"/>
      <x:c r="E98"/>
      <x:c r="F98"/>
      <x:c r="G98"/>
      <x:c r="H98"/>
      <x:c r="I98"/>
      <x:c r="J98"/>
      <x:c r="K98"/>
      <x:c r="L98"/>
      <x:c r="M98"/>
    </x:row>
    <x:row r="99" ht="68" customHeight="1">
      <x:c r="A99"/>
      <x:c r="B99"/>
      <x:c r="C99"/>
      <x:c r="D99"/>
      <x:c r="E99"/>
      <x:c r="F99"/>
      <x:c r="G99"/>
      <x:c r="H99"/>
      <x:c r="I99"/>
      <x:c r="J99"/>
      <x:c r="K99"/>
      <x:c r="L99"/>
      <x:c r="M99"/>
    </x:row>
    <x:row r="100" ht="68" customHeight="1">
      <x:c r="A100"/>
      <x:c r="B100"/>
      <x:c r="C100"/>
      <x:c r="D100"/>
      <x:c r="E100"/>
      <x:c r="F100"/>
      <x:c r="G100"/>
      <x:c r="H100"/>
      <x:c r="I100"/>
      <x:c r="J100"/>
      <x:c r="K100"/>
      <x:c r="L100"/>
      <x:c r="M100"/>
    </x:row>
    <x:row r="101" ht="68" customHeight="1">
      <x:c r="A101"/>
      <x:c r="B101"/>
      <x:c r="C101"/>
      <x:c r="D101"/>
      <x:c r="E101"/>
      <x:c r="F101"/>
      <x:c r="G101"/>
      <x:c r="H101"/>
      <x:c r="I101"/>
      <x:c r="J101"/>
      <x:c r="K101"/>
      <x:c r="L101"/>
      <x:c r="M101"/>
    </x:row>
    <x:row r="102" ht="68" customHeight="1">
      <x:c r="A102"/>
      <x:c r="B102"/>
      <x:c r="C102"/>
      <x:c r="D102"/>
      <x:c r="E102"/>
      <x:c r="F102"/>
      <x:c r="G102"/>
      <x:c r="H102"/>
      <x:c r="I102"/>
      <x:c r="J102"/>
      <x:c r="K102"/>
      <x:c r="L102"/>
      <x:c r="M102"/>
    </x:row>
    <x:row r="103" ht="68" customHeight="1">
      <x:c r="A103"/>
      <x:c r="B103"/>
      <x:c r="C103"/>
      <x:c r="D103"/>
      <x:c r="E103"/>
      <x:c r="F103"/>
      <x:c r="G103"/>
      <x:c r="H103"/>
      <x:c r="I103"/>
      <x:c r="J103"/>
      <x:c r="K103"/>
      <x:c r="L103"/>
      <x:c r="M103"/>
    </x:row>
    <x:row r="104" ht="68" customHeight="1">
      <x:c r="A104"/>
      <x:c r="B104"/>
      <x:c r="C104"/>
      <x:c r="D104"/>
      <x:c r="E104"/>
      <x:c r="F104"/>
      <x:c r="G104"/>
      <x:c r="H104"/>
      <x:c r="I104"/>
      <x:c r="J104"/>
      <x:c r="K104"/>
      <x:c r="L104"/>
      <x:c r="M104"/>
    </x:row>
    <x:row r="105" ht="68" customHeight="1">
      <x:c r="A105"/>
      <x:c r="B105"/>
      <x:c r="C105"/>
      <x:c r="D105"/>
      <x:c r="E105"/>
      <x:c r="F105"/>
      <x:c r="G105"/>
      <x:c r="H105"/>
      <x:c r="I105"/>
      <x:c r="J105"/>
      <x:c r="K105"/>
      <x:c r="L105"/>
      <x:c r="M105"/>
    </x:row>
    <x:row r="106">
      <x:c r="A106"/>
      <x:c r="B106"/>
      <x:c r="C106"/>
      <x:c r="D106"/>
      <x:c r="E106"/>
      <x:c r="F106"/>
      <x:c r="G106"/>
      <x:c r="H106"/>
      <x:c r="I106"/>
      <x:c r="J106"/>
      <x:c r="K106"/>
      <x:c r="L106"/>
      <x:c r="M106"/>
    </x:row>
    <x:row r="107">
      <x:c r="A107"/>
      <x:c r="B107"/>
      <x:c r="C107"/>
      <x:c r="D107"/>
      <x:c r="E107"/>
      <x:c r="F107"/>
      <x:c r="G107"/>
      <x:c r="H107"/>
      <x:c r="I107"/>
      <x:c r="J107"/>
      <x:c r="K107"/>
      <x:c r="L107"/>
      <x:c r="M107"/>
    </x:row>
    <x:row r="108">
      <x:c r="A108"/>
      <x:c r="B108"/>
      <x:c r="C108"/>
      <x:c r="D108"/>
      <x:c r="E108"/>
      <x:c r="F108"/>
      <x:c r="G108"/>
      <x:c r="H108"/>
      <x:c r="I108"/>
      <x:c r="J108"/>
      <x:c r="K108"/>
      <x:c r="L108"/>
      <x:c r="M108"/>
    </x:row>
    <x:row r="109">
      <x:c r="A109"/>
      <x:c r="B109"/>
      <x:c r="C109"/>
      <x:c r="D109"/>
      <x:c r="E109"/>
      <x:c r="F109"/>
      <x:c r="G109"/>
      <x:c r="H109"/>
      <x:c r="I109"/>
      <x:c r="J109"/>
      <x:c r="K109"/>
      <x:c r="L109"/>
      <x:c r="M109"/>
    </x:row>
    <x:row r="110">
      <x:c r="A110"/>
      <x:c r="B110"/>
      <x:c r="C110"/>
      <x:c r="D110"/>
      <x:c r="E110"/>
      <x:c r="F110"/>
      <x:c r="G110"/>
      <x:c r="H110"/>
      <x:c r="I110"/>
      <x:c r="J110"/>
      <x:c r="K110"/>
      <x:c r="L110"/>
      <x:c r="M110"/>
    </x:row>
  </x:sheetData>
  <x:mergeCells>
    <x:mergeCell ref="A1:M1"/>
    <x:mergeCell ref="A2:M2"/>
  </x:mergeCells>
  <x:dataValidations count="2">
    <x:dataValidation type="list" sqref="K5:K105">
      <x:formula1>"Strong,Moderate,Emerging,Mixed,Limited"</x:formula1>
    </x:dataValidation>
    <x:dataValidation type="list" sqref="K5:K70">
      <x:formula1>"Strong,Moderate,Emerging,Mixed,Limited"</x:formula1>
    </x:dataValidation>
  </x:dataValidations>
  <x:pageMargins left="0.7" right="0.7" top="0.75" bottom="0.75" header="0.3" footer="0.3"/>
  <x:tableParts count="1">
    <x:tablePart xmlns:r="http://schemas.openxmlformats.org/officeDocument/2006/relationships" r:id="Rb1772cebac51413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30" hidden="0" customWidth="1"/>
    <x:col min="4" max="4" width="13" hidden="0" customWidth="1"/>
    <x:col min="5" max="5" width="30" hidden="0" customWidth="1"/>
    <x:col min="6" max="6" width="25" hidden="0" customWidth="1"/>
    <x:col min="7" max="7" width="18" hidden="0" customWidth="1"/>
    <x:col min="8" max="8" width="31" hidden="0" customWidth="1"/>
    <x:col min="9" max="9" width="43" hidden="0" customWidth="1"/>
    <x:col min="10" max="10" width="22" hidden="0" customWidth="1"/>
    <x:col min="11" max="11" width="15" hidden="0" customWidth="1"/>
    <x:col min="12" max="12" width="50" hidden="0" customWidth="1"/>
    <x:col min="13" max="13" width="25" hidden="0" customWidth="1"/>
  </x:cols>
  <x:sheetData>
    <x:row r="1" ht="30" customHeight="1">
      <x:c r="A1" s="70" t="str">
        <x:v>PSYWERX Social Driver Ontology — Relationships</x:v>
      </x:c>
      <x:c r="B1" s="70"/>
      <x:c r="C1" s="70"/>
      <x:c r="D1" s="70"/>
      <x:c r="E1" s="70"/>
      <x:c r="F1" s="70"/>
      <x:c r="G1" s="70"/>
      <x:c r="H1" s="70"/>
      <x:c r="I1" s="70"/>
      <x:c r="J1" s="70"/>
      <x:c r="K1" s="70"/>
      <x:c r="L1" s="70"/>
      <x:c r="M1" s="70"/>
    </x:row>
    <x:row r="2" ht="46" customHeight="1">
      <x:c r="A2" s="73" t="str">
        <x:v>Conservative evidence-bearing candidate edges and structural relationships. Expected Direction applies only under the stated conditions and never as a universal property of a driver.</x:v>
      </x:c>
      <x:c r="B2" s="73"/>
      <x:c r="C2" s="73"/>
      <x:c r="D2" s="73"/>
      <x:c r="E2" s="73"/>
      <x:c r="F2" s="73"/>
      <x:c r="G2" s="73"/>
      <x:c r="H2" s="73"/>
      <x:c r="I2" s="73"/>
      <x:c r="J2" s="73"/>
      <x:c r="K2" s="73"/>
      <x:c r="L2" s="73"/>
      <x:c r="M2" s="73"/>
    </x:row>
    <x:row r="3" ht="8" customHeight="1">
      <x:c r="A3" s="43"/>
      <x:c r="B3" s="43"/>
      <x:c r="C3" s="43"/>
      <x:c r="D3" s="43"/>
      <x:c r="E3" s="43"/>
      <x:c r="F3" s="43"/>
      <x:c r="G3" s="43"/>
      <x:c r="H3" s="43"/>
      <x:c r="I3" s="43"/>
      <x:c r="J3" s="43"/>
      <x:c r="K3" s="43"/>
      <x:c r="L3" s="43"/>
      <x:c r="M3" s="43"/>
    </x:row>
    <x:row r="4" ht="48" customHeight="1">
      <x:c r="A4" s="76" t="str">
        <x:v>Relationship ID</x:v>
      </x:c>
      <x:c r="B4" s="76" t="str">
        <x:v>Source Driver ID</x:v>
      </x:c>
      <x:c r="C4" s="76" t="str">
        <x:v>Source Driver</x:v>
      </x:c>
      <x:c r="D4" s="76" t="str">
        <x:v>Target Driver ID</x:v>
      </x:c>
      <x:c r="E4" s="76" t="str">
        <x:v>Target Driver</x:v>
      </x:c>
      <x:c r="F4" s="76" t="str">
        <x:v>Relationship Type</x:v>
      </x:c>
      <x:c r="G4" s="76" t="str">
        <x:v>Expected Direction</x:v>
      </x:c>
      <x:c r="H4" s="76" t="str">
        <x:v>Functional Form</x:v>
      </x:c>
      <x:c r="I4" s="76" t="str">
        <x:v>Moderators / Conditions</x:v>
      </x:c>
      <x:c r="J4" s="76" t="str">
        <x:v>Time Lag</x:v>
      </x:c>
      <x:c r="K4" s="76" t="str">
        <x:v>Evidence Strength</x:v>
      </x:c>
      <x:c r="L4" s="76" t="str">
        <x:v>Evidence Notes</x:v>
      </x:c>
      <x:c r="M4" s="76" t="str">
        <x:v>Evidence IDs</x:v>
      </x:c>
    </x:row>
    <x:row r="5" ht="70" customHeight="1">
      <x:c r="A5" s="43" t="str">
        <x:v>REL-SOC-001</x:v>
      </x:c>
      <x:c r="B5" s="43" t="str">
        <x:v>SOC-005</x:v>
      </x:c>
      <x:c r="C5" s="43" t="str">
        <x:v>Norm Visibility</x:v>
      </x:c>
      <x:c r="D5" s="43" t="str">
        <x:v>SOC-001</x:v>
      </x:c>
      <x:c r="E5" s="43" t="str">
        <x:v>Behavioral Prevalence</x:v>
      </x:c>
      <x:c r="F5" s="43" t="str">
        <x:v>Causal candidate</x:v>
      </x:c>
      <x:c r="G5" s="43" t="str">
        <x:v>Contingent</x:v>
      </x:c>
      <x:c r="H5" s="43" t="str">
        <x:v>Visibility can strengthen movement toward the observed group pattern; effects may reverse when the behavior is undesirable or identity-incongruent.</x:v>
      </x:c>
      <x:c r="I5" s="43" t="str">
        <x:v>Reference-group relevance, baseline prevalence, public versus private response, approval signal, and credibility.</x:v>
      </x:c>
      <x:c r="J5" s="43" t="str">
        <x:v>Minutes–Hours</x:v>
      </x:c>
      <x:c r="K5" s="43" t="str">
        <x:v>Moderate</x:v>
      </x:c>
      <x:c r="L5" s="43" t="str">
        <x:v>Visibility makes actual conduct available as social evidence, but it does not guarantee conformity and should not be treated as the prevalence itself.</x:v>
      </x:c>
      <x:c r="M5" s="43" t="str">
        <x:v>SRC208; SRC209; SRC251</x:v>
      </x:c>
    </x:row>
    <x:row r="6" ht="70" customHeight="1">
      <x:c r="A6" s="43" t="str">
        <x:v>REL-SOC-002</x:v>
      </x:c>
      <x:c r="B6" s="43" t="str">
        <x:v>SOC-002</x:v>
      </x:c>
      <x:c r="C6" s="43" t="str">
        <x:v>Expressed Approval Prevalence</x:v>
      </x:c>
      <x:c r="D6" s="43" t="str">
        <x:v>SOC-008</x:v>
      </x:c>
      <x:c r="E6" s="43" t="str">
        <x:v>Informal Reward Probability</x:v>
      </x:c>
      <x:c r="F6" s="43" t="str">
        <x:v>Causal candidate</x:v>
      </x:c>
      <x:c r="G6" s="43" t="str">
        <x:v>Positive</x:v>
      </x:c>
      <x:c r="H6" s="43" t="str">
        <x:v>Usually monotonic over the observed range, with saturation at high consensus.</x:v>
      </x:c>
      <x:c r="I6" s="43" t="str">
        <x:v>Visibility, audience, relationship stakes, norm content, and cultural display rules.</x:v>
      </x:c>
      <x:c r="J6" s="43" t="str">
        <x:v>Minutes–Hours</x:v>
      </x:c>
      <x:c r="K6" s="43" t="str">
        <x:v>Moderate</x:v>
      </x:c>
      <x:c r="L6" s="43" t="str">
        <x:v>Widespread public approval generally increases the chance that aligned conduct receives positive social response.</x:v>
      </x:c>
      <x:c r="M6" s="43" t="str">
        <x:v>SRC208; SRC209; SRC251</x:v>
      </x:c>
    </x:row>
    <x:row r="7" ht="70" customHeight="1">
      <x:c r="A7" s="43" t="str">
        <x:v>REL-SOC-003</x:v>
      </x:c>
      <x:c r="B7" s="43" t="str">
        <x:v>SOC-002</x:v>
      </x:c>
      <x:c r="C7" s="43" t="str">
        <x:v>Expressed Approval Prevalence</x:v>
      </x:c>
      <x:c r="D7" s="43" t="str">
        <x:v>SOC-006</x:v>
      </x:c>
      <x:c r="E7" s="43" t="str">
        <x:v>Informal Sanction Probability</x:v>
      </x:c>
      <x:c r="F7" s="43" t="str">
        <x:v>Causal candidate</x:v>
      </x:c>
      <x:c r="G7" s="43" t="str">
        <x:v>Positive</x:v>
      </x:c>
      <x:c r="H7" s="43" t="str">
        <x:v>Greater approval of a standard can increase enforcement against specified violations; thresholds are common.</x:v>
      </x:c>
      <x:c r="I7" s="43" t="str">
        <x:v>Consensus, legitimacy, group identification, observability, and sanction cost.</x:v>
      </x:c>
      <x:c r="J7" s="43" t="str">
        <x:v>Minutes–Hours</x:v>
      </x:c>
      <x:c r="K7" s="43" t="str">
        <x:v>Moderate</x:v>
      </x:c>
      <x:c r="L7" s="43" t="str">
        <x:v>The edge applies to violations of the approved standard, not to behavior generically.</x:v>
      </x:c>
      <x:c r="M7" s="43" t="str">
        <x:v>SRC225; SRC226; SRC251</x:v>
      </x:c>
    </x:row>
    <x:row r="8" ht="70" customHeight="1">
      <x:c r="A8" s="43" t="str">
        <x:v>REL-SOC-004</x:v>
      </x:c>
      <x:c r="B8" s="43" t="str">
        <x:v>SOC-006</x:v>
      </x:c>
      <x:c r="C8" s="43" t="str">
        <x:v>Informal Sanction Probability</x:v>
      </x:c>
      <x:c r="D8" s="43" t="str">
        <x:v>SOC-001</x:v>
      </x:c>
      <x:c r="E8" s="43" t="str">
        <x:v>Behavioral Prevalence</x:v>
      </x:c>
      <x:c r="F8" s="43" t="str">
        <x:v>Causal candidate</x:v>
      </x:c>
      <x:c r="G8" s="43" t="str">
        <x:v>Contingent</x:v>
      </x:c>
      <x:c r="H8" s="43" t="str">
        <x:v>Typically positive for the sanctioned-against alternative and negative for the violation, with possible crowding-out or reactance.</x:v>
      </x:c>
      <x:c r="I8" s="43" t="str">
        <x:v>Sanction legitimacy, severity, detection, identity, alternatives, and intrinsic motivation.</x:v>
      </x:c>
      <x:c r="J8" s="43" t="str">
        <x:v>Minutes–Days</x:v>
      </x:c>
      <x:c r="K8" s="43" t="str">
        <x:v>Strong</x:v>
      </x:c>
      <x:c r="L8" s="43" t="str">
        <x:v>Peer punishment can stabilize cooperation or conformity, but high or illegitimate sanctions can provoke evasion or resistance.</x:v>
      </x:c>
      <x:c r="M8" s="43" t="str">
        <x:v>SRC225; SRC226; SRC251</x:v>
      </x:c>
    </x:row>
    <x:row r="9" ht="70" customHeight="1">
      <x:c r="A9" s="43" t="str">
        <x:v>REL-SOC-005</x:v>
      </x:c>
      <x:c r="B9" s="43" t="str">
        <x:v>SOC-004</x:v>
      </x:c>
      <x:c r="C9" s="43" t="str">
        <x:v>Norm Change Rate</x:v>
      </x:c>
      <x:c r="D9" s="43" t="str">
        <x:v>SOC-001</x:v>
      </x:c>
      <x:c r="E9" s="43" t="str">
        <x:v>Behavioral Prevalence</x:v>
      </x:c>
      <x:c r="F9" s="43" t="str">
        <x:v>Dynamic relationship</x:v>
      </x:c>
      <x:c r="G9" s="43" t="str">
        <x:v>Positive</x:v>
      </x:c>
      <x:c r="H9" s="43" t="str">
        <x:v>A positive trend predicts subsequent prevalence change when the trajectory is credible and sustained.</x:v>
      </x:c>
      <x:c r="I9" s="43" t="str">
        <x:v>Current prevalence, reference group, trend duration, signal credibility, and external shocks.</x:v>
      </x:c>
      <x:c r="J9" s="43" t="str">
        <x:v>Days–Weeks</x:v>
      </x:c>
      <x:c r="K9" s="43" t="str">
        <x:v>Moderate</x:v>
      </x:c>
      <x:c r="L9" s="43" t="str">
        <x:v>This edge represents temporal continuation, not an assertion that communicating a trend always causes adoption.</x:v>
      </x:c>
      <x:c r="M9" s="43" t="str">
        <x:v>SRC211; SRC251</x:v>
      </x:c>
    </x:row>
    <x:row r="10" ht="70" customHeight="1">
      <x:c r="A10" s="43" t="str">
        <x:v>REL-SOC-006</x:v>
      </x:c>
      <x:c r="B10" s="43" t="str">
        <x:v>SOC-009</x:v>
      </x:c>
      <x:c r="C10" s="43" t="str">
        <x:v>Majority Signal Size</x:v>
      </x:c>
      <x:c r="D10" s="43" t="str">
        <x:v>SOC-010</x:v>
      </x:c>
      <x:c r="E10" s="43" t="str">
        <x:v>Majority Unanimity</x:v>
      </x:c>
      <x:c r="F10" s="43" t="str">
        <x:v>Structural association</x:v>
      </x:c>
      <x:c r="G10" s="43" t="str">
        <x:v>Contingent</x:v>
      </x:c>
      <x:c r="H10" s="43" t="str">
        <x:v>Larger majorities can be unanimous or divided; the association depends on how the majority is defined.</x:v>
      </x:c>
      <x:c r="I10" s="43" t="str">
        <x:v>Group size, response categories, visibility, and selection into the setting.</x:v>
      </x:c>
      <x:c r="J10" s="43" t="str">
        <x:v>Immediate</x:v>
      </x:c>
      <x:c r="K10" s="43" t="str">
        <x:v>Limited</x:v>
      </x:c>
      <x:c r="L10" s="43" t="str">
        <x:v>The variables are distinct and should be measured separately; this record prevents treating majority size as unanimity.</x:v>
      </x:c>
      <x:c r="M10" s="43" t="str">
        <x:v>SRC213; SRC252</x:v>
      </x:c>
    </x:row>
    <x:row r="11" ht="70" customHeight="1">
      <x:c r="A11" s="43" t="str">
        <x:v>REL-SOC-007</x:v>
      </x:c>
      <x:c r="B11" s="43" t="str">
        <x:v>SOC-010</x:v>
      </x:c>
      <x:c r="C11" s="43" t="str">
        <x:v>Majority Unanimity</x:v>
      </x:c>
      <x:c r="D11" s="43" t="str">
        <x:v>SOC-069</x:v>
      </x:c>
      <x:c r="E11" s="43" t="str">
        <x:v>Dissent Availability</x:v>
      </x:c>
      <x:c r="F11" s="43" t="str">
        <x:v>Structural relationship</x:v>
      </x:c>
      <x:c r="G11" s="43" t="str">
        <x:v>Negative</x:v>
      </x:c>
      <x:c r="H11" s="43" t="str">
        <x:v>Near-deterministic inverse when dissent is defined within the same visible response set.</x:v>
      </x:c>
      <x:c r="I11" s="43" t="str">
        <x:v>Response privacy, unexpressed disagreement, observation window, and whether abstention counts as dissent.</x:v>
      </x:c>
      <x:c r="J11" s="43" t="str">
        <x:v>Immediate</x:v>
      </x:c>
      <x:c r="K11" s="43" t="str">
        <x:v>Strong</x:v>
      </x:c>
      <x:c r="L11" s="43" t="str">
        <x:v>Visible unanimity reduces available dissent even when private disagreement persists.</x:v>
      </x:c>
      <x:c r="M11" s="43" t="str">
        <x:v>SRC213; SRC214</x:v>
      </x:c>
    </x:row>
    <x:row r="12" ht="70" customHeight="1">
      <x:c r="A12" s="43" t="str">
        <x:v>REL-SOC-008</x:v>
      </x:c>
      <x:c r="B12" s="43" t="str">
        <x:v>SOC-011</x:v>
      </x:c>
      <x:c r="C12" s="43" t="str">
        <x:v>Minority Consistency</x:v>
      </x:c>
      <x:c r="D12" s="43" t="str">
        <x:v>SOC-069</x:v>
      </x:c>
      <x:c r="E12" s="43" t="str">
        <x:v>Dissent Availability</x:v>
      </x:c>
      <x:c r="F12" s="43" t="str">
        <x:v>Causal candidate</x:v>
      </x:c>
      <x:c r="G12" s="43" t="str">
        <x:v>Positive</x:v>
      </x:c>
      <x:c r="H12" s="43" t="str">
        <x:v>Consistent minorities sustain an accessible alternative across occasions.</x:v>
      </x:c>
      <x:c r="I12" s="43" t="str">
        <x:v>Minority size, behavioral style, task, response privacy, and majority openness.</x:v>
      </x:c>
      <x:c r="J12" s="43" t="str">
        <x:v>Minutes–Days</x:v>
      </x:c>
      <x:c r="K12" s="43" t="str">
        <x:v>Moderate</x:v>
      </x:c>
      <x:c r="L12" s="43" t="str">
        <x:v>Consistency can maintain dissent availability without producing immediate public conversion.</x:v>
      </x:c>
      <x:c r="M12" s="43" t="str">
        <x:v>SRC214; SRC271</x:v>
      </x:c>
    </x:row>
    <x:row r="13" ht="70" customHeight="1">
      <x:c r="A13" s="43" t="str">
        <x:v>REL-SOC-009</x:v>
      </x:c>
      <x:c r="B13" s="43" t="str">
        <x:v>SOC-012</x:v>
      </x:c>
      <x:c r="C13" s="43" t="str">
        <x:v>Peer Presence</x:v>
      </x:c>
      <x:c r="D13" s="43" t="str">
        <x:v>SOC-013</x:v>
      </x:c>
      <x:c r="E13" s="43" t="str">
        <x:v>Peer Behavior Exposure Frequency</x:v>
      </x:c>
      <x:c r="F13" s="43" t="str">
        <x:v>Opportunity relationship</x:v>
      </x:c>
      <x:c r="G13" s="43" t="str">
        <x:v>Positive</x:v>
      </x:c>
      <x:c r="H13" s="43" t="str">
        <x:v>More co-present peers generally create more opportunities for observing peer conduct, subject to activity and attention.</x:v>
      </x:c>
      <x:c r="I13" s="43" t="str">
        <x:v>Episode duration, peer activity, communication mode, visibility, and task design.</x:v>
      </x:c>
      <x:c r="J13" s="43" t="str">
        <x:v>Seconds–Minutes</x:v>
      </x:c>
      <x:c r="K13" s="43" t="str">
        <x:v>Moderate</x:v>
      </x:c>
      <x:c r="L13" s="43" t="str">
        <x:v>Presence is an opportunity condition; actual exposure still requires observable behavior.</x:v>
      </x:c>
      <x:c r="M13" s="43" t="str">
        <x:v>SRC215; SRC241</x:v>
      </x:c>
    </x:row>
    <x:row r="14" ht="70" customHeight="1">
      <x:c r="A14" s="43" t="str">
        <x:v>REL-SOC-010</x:v>
      </x:c>
      <x:c r="B14" s="43" t="str">
        <x:v>SOC-015</x:v>
      </x:c>
      <x:c r="C14" s="43" t="str">
        <x:v>Social Model Status</x:v>
      </x:c>
      <x:c r="D14" s="43" t="str">
        <x:v>SOC-062</x:v>
      </x:c>
      <x:c r="E14" s="43" t="str">
        <x:v>Influential-Referent Exposure</x:v>
      </x:c>
      <x:c r="F14" s="43" t="str">
        <x:v>Weighting relationship</x:v>
      </x:c>
      <x:c r="G14" s="43" t="str">
        <x:v>Positive</x:v>
      </x:c>
      <x:c r="H14" s="43" t="str">
        <x:v>Exposure from higher-status models contributes more strongly to status- or influence-weighted exposure.</x:v>
      </x:c>
      <x:c r="I14" s="43" t="str">
        <x:v>Network position, relevance of status domain, prestige versus dominance, and model credibility.</x:v>
      </x:c>
      <x:c r="J14" s="43" t="str">
        <x:v>Immediate</x:v>
      </x:c>
      <x:c r="K14" s="43" t="str">
        <x:v>Moderate</x:v>
      </x:c>
      <x:c r="L14" s="43" t="str">
        <x:v>Status is one basis for influence weighting and is not interchangeable with centrality or similarity.</x:v>
      </x:c>
      <x:c r="M14" s="43" t="str">
        <x:v>SRC227; SRC228; SRC250</x:v>
      </x:c>
    </x:row>
    <x:row r="15" ht="70" customHeight="1">
      <x:c r="A15" s="43" t="str">
        <x:v>REL-SOC-011</x:v>
      </x:c>
      <x:c r="B15" s="43" t="str">
        <x:v>SOC-016</x:v>
      </x:c>
      <x:c r="C15" s="43" t="str">
        <x:v>Interaction Frequency</x:v>
      </x:c>
      <x:c r="D15" s="43" t="str">
        <x:v>SOC-019</x:v>
      </x:c>
      <x:c r="E15" s="43" t="str">
        <x:v>Relational Closeness</x:v>
      </x:c>
      <x:c r="F15" s="43" t="str">
        <x:v>Reciprocal causal candidate</x:v>
      </x:c>
      <x:c r="G15" s="43" t="str">
        <x:v>Positive</x:v>
      </x:c>
      <x:c r="H15" s="43" t="str">
        <x:v>Often increasing with diminishing returns; closeness also selects and sustains interaction.</x:v>
      </x:c>
      <x:c r="I15" s="43" t="str">
        <x:v>Relationship type, conflict, communication quality, life stage, and opportunity for contact.</x:v>
      </x:c>
      <x:c r="J15" s="43" t="str">
        <x:v>Days–Months</x:v>
      </x:c>
      <x:c r="K15" s="43" t="str">
        <x:v>Moderate</x:v>
      </x:c>
      <x:c r="L15" s="43" t="str">
        <x:v>The relation is bidirectionally selected and should not be interpreted as contact frequency alone producing closeness.</x:v>
      </x:c>
      <x:c r="M15" s="43" t="str">
        <x:v>SRC222; SRC234; SRC254</x:v>
      </x:c>
    </x:row>
    <x:row r="16" ht="70" customHeight="1">
      <x:c r="A16" s="43" t="str">
        <x:v>REL-SOC-012</x:v>
      </x:c>
      <x:c r="B16" s="43" t="str">
        <x:v>SOC-017</x:v>
      </x:c>
      <x:c r="C16" s="43" t="str">
        <x:v>Interaction Duration</x:v>
      </x:c>
      <x:c r="D16" s="43" t="str">
        <x:v>SOC-019</x:v>
      </x:c>
      <x:c r="E16" s="43" t="str">
        <x:v>Relational Closeness</x:v>
      </x:c>
      <x:c r="F16" s="43" t="str">
        <x:v>Reciprocal causal candidate</x:v>
      </x:c>
      <x:c r="G16" s="43" t="str">
        <x:v>Positive</x:v>
      </x:c>
      <x:c r="H16" s="43" t="str">
        <x:v>Usually positive when interaction is voluntary and constructive; prolonged conflict can reverse the relation.</x:v>
      </x:c>
      <x:c r="I16" s="43" t="str">
        <x:v>Interaction quality, voluntariness, shared activity, conflict, and relationship type.</x:v>
      </x:c>
      <x:c r="J16" s="43" t="str">
        <x:v>Days–Months</x:v>
      </x:c>
      <x:c r="K16" s="43" t="str">
        <x:v>Moderate</x:v>
      </x:c>
      <x:c r="L16" s="43" t="str">
        <x:v>Time together is an opportunity for relational investment, not a direct measure of closeness.</x:v>
      </x:c>
      <x:c r="M16" s="43" t="str">
        <x:v>SRC222; SRC254</x:v>
      </x:c>
    </x:row>
    <x:row r="17" ht="70" customHeight="1">
      <x:c r="A17" s="43" t="str">
        <x:v>REL-SOC-013</x:v>
      </x:c>
      <x:c r="B17" s="43" t="str">
        <x:v>SOC-021</x:v>
      </x:c>
      <x:c r="C17" s="43" t="str">
        <x:v>Tie Multiplexity</x:v>
      </x:c>
      <x:c r="D17" s="43" t="str">
        <x:v>SOC-022</x:v>
      </x:c>
      <x:c r="E17" s="43" t="str">
        <x:v>Relationship Stability</x:v>
      </x:c>
      <x:c r="F17" s="43" t="str">
        <x:v>Causal candidate</x:v>
      </x:c>
      <x:c r="G17" s="43" t="str">
        <x:v>Positive</x:v>
      </x:c>
      <x:c r="H17" s="43" t="str">
        <x:v>Additional relational domains often stabilize ties, though role conflict can create nonlinear costs.</x:v>
      </x:c>
      <x:c r="I17" s="43" t="str">
        <x:v>Valence of each tie layer, role conflict, substitutability, dependence, and organizational change.</x:v>
      </x:c>
      <x:c r="J17" s="43" t="str">
        <x:v>Weeks–Months</x:v>
      </x:c>
      <x:c r="K17" s="43" t="str">
        <x:v>Moderate</x:v>
      </x:c>
      <x:c r="L17" s="43" t="str">
        <x:v>Multiplexity can embed a tie across settings but should not be assumed uniformly beneficial.</x:v>
      </x:c>
      <x:c r="M17" s="43" t="str">
        <x:v>SRC254; SRC234</x:v>
      </x:c>
    </x:row>
    <x:row r="18" ht="70" customHeight="1">
      <x:c r="A18" s="43" t="str">
        <x:v>REL-SOC-014</x:v>
      </x:c>
      <x:c r="B18" s="43" t="str">
        <x:v>SOC-020</x:v>
      </x:c>
      <x:c r="C18" s="43" t="str">
        <x:v>Tie Reciprocity</x:v>
      </x:c>
      <x:c r="D18" s="43" t="str">
        <x:v>SOC-022</x:v>
      </x:c>
      <x:c r="E18" s="43" t="str">
        <x:v>Relationship Stability</x:v>
      </x:c>
      <x:c r="F18" s="43" t="str">
        <x:v>Causal candidate</x:v>
      </x:c>
      <x:c r="G18" s="43" t="str">
        <x:v>Positive</x:v>
      </x:c>
      <x:c r="H18" s="43" t="str">
        <x:v>Reciprocal ties generally persist more than one-sided ties, with possible thresholds.</x:v>
      </x:c>
      <x:c r="I18" s="43" t="str">
        <x:v>Relationship type, opportunity, power asymmetry, conflict, and reporting symmetry.</x:v>
      </x:c>
      <x:c r="J18" s="43" t="str">
        <x:v>Weeks–Months</x:v>
      </x:c>
      <x:c r="K18" s="43" t="str">
        <x:v>Moderate</x:v>
      </x:c>
      <x:c r="L18" s="43" t="str">
        <x:v>Mutual recognition and exchange support stability while remaining distinct from closeness.</x:v>
      </x:c>
      <x:c r="M18" s="43" t="str">
        <x:v>SRC224; SRC248; SRC254</x:v>
      </x:c>
    </x:row>
    <x:row r="19" ht="70" customHeight="1">
      <x:c r="A19" s="43" t="str">
        <x:v>REL-SOC-015</x:v>
      </x:c>
      <x:c r="B19" s="43" t="str">
        <x:v>SOC-023</x:v>
      </x:c>
      <x:c r="C19" s="43" t="str">
        <x:v>Negative Interaction Frequency</x:v>
      </x:c>
      <x:c r="D19" s="43" t="str">
        <x:v>SOC-022</x:v>
      </x:c>
      <x:c r="E19" s="43" t="str">
        <x:v>Relationship Stability</x:v>
      </x:c>
      <x:c r="F19" s="43" t="str">
        <x:v>Causal candidate</x:v>
      </x:c>
      <x:c r="G19" s="43" t="str">
        <x:v>Negative</x:v>
      </x:c>
      <x:c r="H19" s="43" t="str">
        <x:v>Often negative and dose dependent; conflict repair or high dependence may weaken the effect.</x:v>
      </x:c>
      <x:c r="I19" s="43" t="str">
        <x:v>Relationship commitment, alternatives, power, repair, conflict type, and cultural norms.</x:v>
      </x:c>
      <x:c r="J19" s="43" t="str">
        <x:v>Days–Months</x:v>
      </x:c>
      <x:c r="K19" s="43" t="str">
        <x:v>Moderate</x:v>
      </x:c>
      <x:c r="L19" s="43" t="str">
        <x:v>Negative interactions can destabilize ties, but some relationships persist despite frequent conflict.</x:v>
      </x:c>
      <x:c r="M19" s="43" t="str">
        <x:v>SRC220; SRC254</x:v>
      </x:c>
    </x:row>
    <x:row r="20" ht="70" customHeight="1">
      <x:c r="A20" s="43" t="str">
        <x:v>REL-SOC-016</x:v>
      </x:c>
      <x:c r="B20" s="43" t="str">
        <x:v>SOC-019</x:v>
      </x:c>
      <x:c r="C20" s="43" t="str">
        <x:v>Relational Closeness</x:v>
      </x:c>
      <x:c r="D20" s="43" t="str">
        <x:v>SOC-027</x:v>
      </x:c>
      <x:c r="E20" s="43" t="str">
        <x:v>Received Emotional Support</x:v>
      </x:c>
      <x:c r="F20" s="43" t="str">
        <x:v>Causal candidate</x:v>
      </x:c>
      <x:c r="G20" s="43" t="str">
        <x:v>Positive</x:v>
      </x:c>
      <x:c r="H20" s="43" t="str">
        <x:v>Closer relationships generally provide more emotional support, especially under need.</x:v>
      </x:c>
      <x:c r="I20" s="43" t="str">
        <x:v>Support need, disclosure, reciprocity, provider capacity, stigma, and relationship quality.</x:v>
      </x:c>
      <x:c r="J20" s="43" t="str">
        <x:v>Minutes–Days</x:v>
      </x:c>
      <x:c r="K20" s="43" t="str">
        <x:v>Moderate</x:v>
      </x:c>
      <x:c r="L20" s="43" t="str">
        <x:v>Closeness increases support opportunity but does not guarantee well-matched or helpful support.</x:v>
      </x:c>
      <x:c r="M20" s="43" t="str">
        <x:v>SRC222; SRC253</x:v>
      </x:c>
    </x:row>
    <x:row r="21" ht="70" customHeight="1">
      <x:c r="A21" s="43" t="str">
        <x:v>REL-SOC-017</x:v>
      </x:c>
      <x:c r="B21" s="43" t="str">
        <x:v>SOC-024</x:v>
      </x:c>
      <x:c r="C21" s="43" t="str">
        <x:v>Personal Network Size</x:v>
      </x:c>
      <x:c r="D21" s="43" t="str">
        <x:v>SOC-026</x:v>
      </x:c>
      <x:c r="E21" s="43" t="str">
        <x:v>Support Provider Availability</x:v>
      </x:c>
      <x:c r="F21" s="43" t="str">
        <x:v>Resource opportunity</x:v>
      </x:c>
      <x:c r="G21" s="43" t="str">
        <x:v>Positive</x:v>
      </x:c>
      <x:c r="H21" s="43" t="str">
        <x:v>Increasing with diminishing returns; composition and provider capacity are more important than count alone.</x:v>
      </x:c>
      <x:c r="I21" s="43" t="str">
        <x:v>Tie quality, support type, network redundancy, geography, stigma, and current burden on contacts.</x:v>
      </x:c>
      <x:c r="J21" s="43" t="str">
        <x:v>Hours–Days</x:v>
      </x:c>
      <x:c r="K21" s="43" t="str">
        <x:v>Strong</x:v>
      </x:c>
      <x:c r="L21" s="43" t="str">
        <x:v>Larger networks usually expand the pool of potential providers but do not equal received or perceived support.</x:v>
      </x:c>
      <x:c r="M21" s="43" t="str">
        <x:v>SRC222; SRC264</x:v>
      </x:c>
    </x:row>
    <x:row r="22" ht="70" customHeight="1">
      <x:c r="A22" s="43" t="str">
        <x:v>REL-SOC-018</x:v>
      </x:c>
      <x:c r="B22" s="43" t="str">
        <x:v>SOC-025</x:v>
      </x:c>
      <x:c r="C22" s="43" t="str">
        <x:v>Social Integration Breadth</x:v>
      </x:c>
      <x:c r="D22" s="43" t="str">
        <x:v>SOC-032</x:v>
      </x:c>
      <x:c r="E22" s="43" t="str">
        <x:v>Social Isolation Degree</x:v>
      </x:c>
      <x:c r="F22" s="43" t="str">
        <x:v>Structural relationship</x:v>
      </x:c>
      <x:c r="G22" s="43" t="str">
        <x:v>Negative</x:v>
      </x:c>
      <x:c r="H22" s="43" t="str">
        <x:v>Generally inverse, though breadth can coexist with low contact intensity or low closeness.</x:v>
      </x:c>
      <x:c r="I22" s="43" t="str">
        <x:v>Role quality, contact frequency, network turnover, mobility, and measurement definition.</x:v>
      </x:c>
      <x:c r="J22" s="43" t="str">
        <x:v>Days–Months</x:v>
      </x:c>
      <x:c r="K22" s="43" t="str">
        <x:v>Strong</x:v>
      </x:c>
      <x:c r="L22" s="43" t="str">
        <x:v>Integration breadth is one component of objective isolation rather than its exact inverse.</x:v>
      </x:c>
      <x:c r="M22" s="43" t="str">
        <x:v>SRC222; SRC272</x:v>
      </x:c>
    </x:row>
    <x:row r="23" ht="70" customHeight="1">
      <x:c r="A23" s="43" t="str">
        <x:v>REL-SOC-019</x:v>
      </x:c>
      <x:c r="B23" s="43" t="str">
        <x:v>SOC-026</x:v>
      </x:c>
      <x:c r="C23" s="43" t="str">
        <x:v>Support Provider Availability</x:v>
      </x:c>
      <x:c r="D23" s="43" t="str">
        <x:v>SOC-028</x:v>
      </x:c>
      <x:c r="E23" s="43" t="str">
        <x:v>Received Instrumental Support</x:v>
      </x:c>
      <x:c r="F23" s="43" t="str">
        <x:v>Causal candidate</x:v>
      </x:c>
      <x:c r="G23" s="43" t="str">
        <x:v>Positive</x:v>
      </x:c>
      <x:c r="H23" s="43" t="str">
        <x:v>Availability increases the ceiling for received aid; receipt depends on need, request, and provider response.</x:v>
      </x:c>
      <x:c r="I23" s="43" t="str">
        <x:v>Need–support match, help seeking, provider capacity, stigma, and reciprocity.</x:v>
      </x:c>
      <x:c r="J23" s="43" t="str">
        <x:v>Minutes–Days</x:v>
      </x:c>
      <x:c r="K23" s="43" t="str">
        <x:v>Moderate</x:v>
      </x:c>
      <x:c r="L23" s="43" t="str">
        <x:v>Available support and enacted support must remain separate.</x:v>
      </x:c>
      <x:c r="M23" s="43" t="str">
        <x:v>SRC253; SRC264</x:v>
      </x:c>
    </x:row>
    <x:row r="24" ht="70" customHeight="1">
      <x:c r="A24" s="43" t="str">
        <x:v>REL-SOC-020</x:v>
      </x:c>
      <x:c r="B24" s="43" t="str">
        <x:v>SOC-026</x:v>
      </x:c>
      <x:c r="C24" s="43" t="str">
        <x:v>Support Provider Availability</x:v>
      </x:c>
      <x:c r="D24" s="43" t="str">
        <x:v>SOC-027</x:v>
      </x:c>
      <x:c r="E24" s="43" t="str">
        <x:v>Received Emotional Support</x:v>
      </x:c>
      <x:c r="F24" s="43" t="str">
        <x:v>Causal candidate</x:v>
      </x:c>
      <x:c r="G24" s="43" t="str">
        <x:v>Positive</x:v>
      </x:c>
      <x:c r="H24" s="43" t="str">
        <x:v>Availability increases opportunity for emotional support, with substantial selection and matching effects.</x:v>
      </x:c>
      <x:c r="I24" s="43" t="str">
        <x:v>Need, disclosure, relationship quality, provider skill, and culture.</x:v>
      </x:c>
      <x:c r="J24" s="43" t="str">
        <x:v>Minutes–Days</x:v>
      </x:c>
      <x:c r="K24" s="43" t="str">
        <x:v>Moderate</x:v>
      </x:c>
      <x:c r="L24" s="43" t="str">
        <x:v>Potential helpers can exist without support being requested or effectively provided.</x:v>
      </x:c>
      <x:c r="M24" s="43" t="str">
        <x:v>SRC253; SRC264</x:v>
      </x:c>
    </x:row>
    <x:row r="25" ht="70" customHeight="1">
      <x:c r="A25" s="43" t="str">
        <x:v>REL-SOC-021</x:v>
      </x:c>
      <x:c r="B25" s="43" t="str">
        <x:v>SOC-031</x:v>
      </x:c>
      <x:c r="C25" s="43" t="str">
        <x:v>Ostracism Exposure</x:v>
      </x:c>
      <x:c r="D25" s="43" t="str">
        <x:v>SOC-032</x:v>
      </x:c>
      <x:c r="E25" s="43" t="str">
        <x:v>Social Isolation Degree</x:v>
      </x:c>
      <x:c r="F25" s="43" t="str">
        <x:v>Causal candidate</x:v>
      </x:c>
      <x:c r="G25" s="43" t="str">
        <x:v>Positive</x:v>
      </x:c>
      <x:c r="H25" s="43" t="str">
        <x:v>Repeated or chronic exclusion can reduce active ties and participation; acute episodes may instead prompt reconnection.</x:v>
      </x:c>
      <x:c r="I25" s="43" t="str">
        <x:v>Chronicity, alternative groups, mobility, coping response, power, and whether exclusion is contested.</x:v>
      </x:c>
      <x:c r="J25" s="43" t="str">
        <x:v>Days–Months</x:v>
      </x:c>
      <x:c r="K25" s="43" t="str">
        <x:v>Moderate</x:v>
      </x:c>
      <x:c r="L25" s="43" t="str">
        <x:v>Ostracism is an event exposure; objective isolation is a broader structural condition.</x:v>
      </x:c>
      <x:c r="M25" s="43" t="str">
        <x:v>SRC220; SRC221; SRC272</x:v>
      </x:c>
    </x:row>
    <x:row r="26" ht="70" customHeight="1">
      <x:c r="A26" s="43" t="str">
        <x:v>REL-SOC-022</x:v>
      </x:c>
      <x:c r="B26" s="43" t="str">
        <x:v>SOC-033</x:v>
      </x:c>
      <x:c r="C26" s="43" t="str">
        <x:v>Partner Reliability</x:v>
      </x:c>
      <x:c r="D26" s="43" t="str">
        <x:v>SOC-034</x:v>
      </x:c>
      <x:c r="E26" s="43" t="str">
        <x:v>Cooperation Prevalence</x:v>
      </x:c>
      <x:c r="F26" s="43" t="str">
        <x:v>Causal candidate</x:v>
      </x:c>
      <x:c r="G26" s="43" t="str">
        <x:v>Positive</x:v>
      </x:c>
      <x:c r="H26" s="43" t="str">
        <x:v>Often positive and stronger where conflict of interest and vulnerability are high.</x:v>
      </x:c>
      <x:c r="I26" s="43" t="str">
        <x:v>Interaction horizon, communication, incentives, monitoring, group size, and alternatives.</x:v>
      </x:c>
      <x:c r="J26" s="43" t="str">
        <x:v>Minutes–Days</x:v>
      </x:c>
      <x:c r="K26" s="43" t="str">
        <x:v>Strong</x:v>
      </x:c>
      <x:c r="L26" s="43" t="str">
        <x:v>Reliable conduct supports cooperation by reducing uncertainty; interpersonal trust remains a distinct Psychological appraisal.</x:v>
      </x:c>
      <x:c r="M26" s="43" t="str">
        <x:v>SRC223; SRC248</x:v>
      </x:c>
    </x:row>
    <x:row r="27" ht="70" customHeight="1">
      <x:c r="A27" s="43" t="str">
        <x:v>REL-SOC-023</x:v>
      </x:c>
      <x:c r="B27" s="43" t="str">
        <x:v>SOC-036</x:v>
      </x:c>
      <x:c r="C27" s="43" t="str">
        <x:v>Repeated Interaction Probability</x:v>
      </x:c>
      <x:c r="D27" s="43" t="str">
        <x:v>SOC-034</x:v>
      </x:c>
      <x:c r="E27" s="43" t="str">
        <x:v>Cooperation Prevalence</x:v>
      </x:c>
      <x:c r="F27" s="43" t="str">
        <x:v>Causal candidate</x:v>
      </x:c>
      <x:c r="G27" s="43" t="str">
        <x:v>Positive</x:v>
      </x:c>
      <x:c r="H27" s="43" t="str">
        <x:v>Generally increasing when future reciprocity and reputation are possible, with threshold and equilibrium effects.</x:v>
      </x:c>
      <x:c r="I27" s="43" t="str">
        <x:v>Discounting, partner choice, observability, group size, and enforcement.</x:v>
      </x:c>
      <x:c r="J27" s="43" t="str">
        <x:v>Minutes–Days</x:v>
      </x:c>
      <x:c r="K27" s="43" t="str">
        <x:v>Strong</x:v>
      </x:c>
      <x:c r="L27" s="43" t="str">
        <x:v>A longer interaction horizon can support cooperation but does not eliminate exploitation or coordination failure.</x:v>
      </x:c>
      <x:c r="M27" s="43" t="str">
        <x:v>SRC223; SRC224; SRC248</x:v>
      </x:c>
    </x:row>
    <x:row r="28" ht="70" customHeight="1">
      <x:c r="A28" s="43" t="str">
        <x:v>REL-SOC-024</x:v>
      </x:c>
      <x:c r="B28" s="43" t="str">
        <x:v>SOC-039</x:v>
      </x:c>
      <x:c r="C28" s="43" t="str">
        <x:v>Free-Riding Prevalence</x:v>
      </x:c>
      <x:c r="D28" s="43" t="str">
        <x:v>SOC-034</x:v>
      </x:c>
      <x:c r="E28" s="43" t="str">
        <x:v>Cooperation Prevalence</x:v>
      </x:c>
      <x:c r="F28" s="43" t="str">
        <x:v>Causal candidate</x:v>
      </x:c>
      <x:c r="G28" s="43" t="str">
        <x:v>Negative</x:v>
      </x:c>
      <x:c r="H28" s="43" t="str">
        <x:v>Often negative and potentially cascading as contributors update expectations.</x:v>
      </x:c>
      <x:c r="I28" s="43" t="str">
        <x:v>Monitoring, sanctions, contribution visibility, group identity, inequality, and exit options.</x:v>
      </x:c>
      <x:c r="J28" s="43" t="str">
        <x:v>Minutes–Days</x:v>
      </x:c>
      <x:c r="K28" s="43" t="str">
        <x:v>Strong</x:v>
      </x:c>
      <x:c r="L28" s="43" t="str">
        <x:v>Free riding can erode contribution, but sanctioning and conditional cooperation may interrupt the decline.</x:v>
      </x:c>
      <x:c r="M28" s="43" t="str">
        <x:v>SRC225; SRC226; SRC240</x:v>
      </x:c>
    </x:row>
    <x:row r="29" ht="70" customHeight="1">
      <x:c r="A29" s="43" t="str">
        <x:v>REL-SOC-025</x:v>
      </x:c>
      <x:c r="B29" s="43" t="str">
        <x:v>SOC-006</x:v>
      </x:c>
      <x:c r="C29" s="43" t="str">
        <x:v>Informal Sanction Probability</x:v>
      </x:c>
      <x:c r="D29" s="43" t="str">
        <x:v>SOC-039</x:v>
      </x:c>
      <x:c r="E29" s="43" t="str">
        <x:v>Free-Riding Prevalence</x:v>
      </x:c>
      <x:c r="F29" s="43" t="str">
        <x:v>Causal candidate</x:v>
      </x:c>
      <x:c r="G29" s="43" t="str">
        <x:v>Negative</x:v>
      </x:c>
      <x:c r="H29" s="43" t="str">
        <x:v>Higher credible sanction probability usually reduces free riding, with possible nonlinear and crowding effects.</x:v>
      </x:c>
      <x:c r="I29" s="43" t="str">
        <x:v>Sanction legitimacy, cost, severity, detection, communication, and retaliation risk.</x:v>
      </x:c>
      <x:c r="J29" s="43" t="str">
        <x:v>Minutes–Days</x:v>
      </x:c>
      <x:c r="K29" s="43" t="str">
        <x:v>Strong</x:v>
      </x:c>
      <x:c r="L29" s="43" t="str">
        <x:v>Effects are conditional and do not imply that maximal punishment is optimal.</x:v>
      </x:c>
      <x:c r="M29" s="43" t="str">
        <x:v>SRC225; SRC226</x:v>
      </x:c>
    </x:row>
    <x:row r="30" ht="70" customHeight="1">
      <x:c r="A30" s="43" t="str">
        <x:v>REL-SOC-026</x:v>
      </x:c>
      <x:c r="B30" s="43" t="str">
        <x:v>SOC-044</x:v>
      </x:c>
      <x:c r="C30" s="43" t="str">
        <x:v>Reputation Visibility</x:v>
      </x:c>
      <x:c r="D30" s="43" t="str">
        <x:v>SOC-034</x:v>
      </x:c>
      <x:c r="E30" s="43" t="str">
        <x:v>Cooperation Prevalence</x:v>
      </x:c>
      <x:c r="F30" s="43" t="str">
        <x:v>Causal candidate</x:v>
      </x:c>
      <x:c r="G30" s="43" t="str">
        <x:v>Positive</x:v>
      </x:c>
      <x:c r="H30" s="43" t="str">
        <x:v>Greater credible reputation visibility generally supports cooperation through partner choice and indirect reciprocity.</x:v>
      </x:c>
      <x:c r="I30" s="43" t="str">
        <x:v>Information accuracy, audience reach, gossip incentives, actor identifiability, and future interaction.</x:v>
      </x:c>
      <x:c r="J30" s="43" t="str">
        <x:v>Minutes–Days</x:v>
      </x:c>
      <x:c r="K30" s="43" t="str">
        <x:v>Moderate</x:v>
      </x:c>
      <x:c r="L30" s="43" t="str">
        <x:v>Visibility can also motivate strategic impression management or reputational attack.</x:v>
      </x:c>
      <x:c r="M30" s="43" t="str">
        <x:v>SRC249; SRC257</x:v>
      </x:c>
    </x:row>
    <x:row r="31" ht="70" customHeight="1">
      <x:c r="A31" s="43" t="str">
        <x:v>REL-SOC-027</x:v>
      </x:c>
      <x:c r="B31" s="43" t="str">
        <x:v>SOC-040</x:v>
      </x:c>
      <x:c r="C31" s="43" t="str">
        <x:v>Status Rank</x:v>
      </x:c>
      <x:c r="D31" s="43" t="str">
        <x:v>SOC-045</x:v>
      </x:c>
      <x:c r="E31" s="43" t="str">
        <x:v>Deference Received</x:v>
      </x:c>
      <x:c r="F31" s="43" t="str">
        <x:v>Reciprocal structural relationship</x:v>
      </x:c>
      <x:c r="G31" s="43" t="str">
        <x:v>Positive</x:v>
      </x:c>
      <x:c r="H31" s="43" t="str">
        <x:v>Higher rank generally predicts more deference; received deference also reproduces rank.</x:v>
      </x:c>
      <x:c r="I31" s="43" t="str">
        <x:v>Legitimacy, expertise relevance, culture, hierarchy stability, and task.</x:v>
      </x:c>
      <x:c r="J31" s="43" t="str">
        <x:v>Immediate–Weeks</x:v>
      </x:c>
      <x:c r="K31" s="43" t="str">
        <x:v>Strong</x:v>
      </x:c>
      <x:c r="L31" s="43" t="str">
        <x:v>Rank and deference are empirically linked but remain conceptually distinct.</x:v>
      </x:c>
      <x:c r="M31" s="43" t="str">
        <x:v>SRC227; SRC228; SRC258</x:v>
      </x:c>
    </x:row>
    <x:row r="32" ht="70" customHeight="1">
      <x:c r="A32" s="43" t="str">
        <x:v>REL-SOC-028</x:v>
      </x:c>
      <x:c r="B32" s="43" t="str">
        <x:v>SOC-046</x:v>
      </x:c>
      <x:c r="C32" s="43" t="str">
        <x:v>Resource Control Asymmetry</x:v>
      </x:c>
      <x:c r="D32" s="43" t="str">
        <x:v>SOC-047</x:v>
      </x:c>
      <x:c r="E32" s="43" t="str">
        <x:v>Dependence Asymmetry</x:v>
      </x:c>
      <x:c r="F32" s="43" t="str">
        <x:v>Relational causal candidate</x:v>
      </x:c>
      <x:c r="G32" s="43" t="str">
        <x:v>Positive</x:v>
      </x:c>
      <x:c r="H32" s="43" t="str">
        <x:v>Directional control of valued resources tends to create dependence in the opposite direction.</x:v>
      </x:c>
      <x:c r="I32" s="43" t="str">
        <x:v>Availability of alternatives, switching cost, resource value, formal protections, and coalition support.</x:v>
      </x:c>
      <x:c r="J32" s="43" t="str">
        <x:v>Hours–Months</x:v>
      </x:c>
      <x:c r="K32" s="43" t="str">
        <x:v>Strong</x:v>
      </x:c>
      <x:c r="L32" s="43" t="str">
        <x:v>The sign must be coded consistently so the controller is less dependent and the resource recipient more dependent.</x:v>
      </x:c>
      <x:c r="M32" s="43" t="str">
        <x:v>SRC228; SRC246; SRC258</x:v>
      </x:c>
    </x:row>
    <x:row r="33" ht="70" customHeight="1">
      <x:c r="A33" s="43" t="str">
        <x:v>REL-SOC-029</x:v>
      </x:c>
      <x:c r="B33" s="43" t="str">
        <x:v>SOC-041</x:v>
      </x:c>
      <x:c r="C33" s="43" t="str">
        <x:v>Status Hierarchy Steepness</x:v>
      </x:c>
      <x:c r="D33" s="43" t="str">
        <x:v>SOC-070</x:v>
      </x:c>
      <x:c r="E33" s="43" t="str">
        <x:v>Communication Participation Equality</x:v>
      </x:c>
      <x:c r="F33" s="43" t="str">
        <x:v>Causal candidate</x:v>
      </x:c>
      <x:c r="G33" s="43" t="str">
        <x:v>Negative</x:v>
      </x:c>
      <x:c r="H33" s="43" t="str">
        <x:v>Steeper hierarchies often concentrate speaking and decision influence, though expertise and facilitation can moderate.</x:v>
      </x:c>
      <x:c r="I33" s="43" t="str">
        <x:v>Hierarchy legitimacy, task type, leader behavior, norms of voice, and accountability.</x:v>
      </x:c>
      <x:c r="J33" s="43" t="str">
        <x:v>Minutes–Days</x:v>
      </x:c>
      <x:c r="K33" s="43" t="str">
        <x:v>Moderate</x:v>
      </x:c>
      <x:c r="L33" s="43" t="str">
        <x:v>The effect is not universal; steep rank can coexist with deliberately equal participation.</x:v>
      </x:c>
      <x:c r="M33" s="43" t="str">
        <x:v>SRC228; SRC258; SRC267</x:v>
      </x:c>
    </x:row>
    <x:row r="34" ht="70" customHeight="1">
      <x:c r="A34" s="43" t="str">
        <x:v>REL-SOC-030</x:v>
      </x:c>
      <x:c r="B34" s="43" t="str">
        <x:v>SOC-048</x:v>
      </x:c>
      <x:c r="C34" s="43" t="str">
        <x:v>Informal Authority Strength</x:v>
      </x:c>
      <x:c r="D34" s="43" t="str">
        <x:v>SOC-074</x:v>
      </x:c>
      <x:c r="E34" s="43" t="str">
        <x:v>Goal Alignment</x:v>
      </x:c>
      <x:c r="F34" s="43" t="str">
        <x:v>Causal candidate</x:v>
      </x:c>
      <x:c r="G34" s="43" t="str">
        <x:v>Contingent</x:v>
      </x:c>
      <x:c r="H34" s="43" t="str">
        <x:v>Accepted guidance can increase alignment when authority articulates a shared goal; illegitimate authority can polarize.</x:v>
      </x:c>
      <x:c r="I34" s="43" t="str">
        <x:v>Legitimacy, leader competence, preexisting goals, dissent, and formal authority.</x:v>
      </x:c>
      <x:c r="J34" s="43" t="str">
        <x:v>Minutes–Days</x:v>
      </x:c>
      <x:c r="K34" s="43" t="str">
        <x:v>Limited</x:v>
      </x:c>
      <x:c r="L34" s="43" t="str">
        <x:v>This edge is provisional and should not be generalized to obedience or compliance.</x:v>
      </x:c>
      <x:c r="M34" s="43" t="str">
        <x:v>SRC228; SRC230; SRC258</x:v>
      </x:c>
    </x:row>
    <x:row r="35" ht="70" customHeight="1">
      <x:c r="A35" s="43" t="str">
        <x:v>REL-SOC-031</x:v>
      </x:c>
      <x:c r="B35" s="43" t="str">
        <x:v>SOC-052</x:v>
      </x:c>
      <x:c r="C35" s="43" t="str">
        <x:v>Network Density</x:v>
      </x:c>
      <x:c r="D35" s="43" t="str">
        <x:v>SOC-053</x:v>
      </x:c>
      <x:c r="E35" s="43" t="str">
        <x:v>Local Clustering</x:v>
      </x:c>
      <x:c r="F35" s="43" t="str">
        <x:v>Structural relationship</x:v>
      </x:c>
      <x:c r="G35" s="43" t="str">
        <x:v>Positive</x:v>
      </x:c>
      <x:c r="H35" s="43" t="str">
        <x:v>Usually positive but not deterministic; sparse networks can contain highly clustered neighborhoods.</x:v>
      </x:c>
      <x:c r="I35" s="43" t="str">
        <x:v>Network size, degree distribution, boundary, tie type, and weighted or directed definition.</x:v>
      </x:c>
      <x:c r="J35" s="43" t="str">
        <x:v>Immediate</x:v>
      </x:c>
      <x:c r="K35" s="43" t="str">
        <x:v>Strong</x:v>
      </x:c>
      <x:c r="L35" s="43" t="str">
        <x:v>Density and local clustering summarize different levels and must not be merged.</x:v>
      </x:c>
      <x:c r="M35" s="43" t="str">
        <x:v>SRC254; SRC256</x:v>
      </x:c>
    </x:row>
    <x:row r="36" ht="70" customHeight="1">
      <x:c r="A36" s="43" t="str">
        <x:v>REL-SOC-032</x:v>
      </x:c>
      <x:c r="B36" s="43" t="str">
        <x:v>SOC-054</x:v>
      </x:c>
      <x:c r="C36" s="43" t="str">
        <x:v>Network Assortativity</x:v>
      </x:c>
      <x:c r="D36" s="43" t="str">
        <x:v>SOC-057</x:v>
      </x:c>
      <x:c r="E36" s="43" t="str">
        <x:v>Network Segregation</x:v>
      </x:c>
      <x:c r="F36" s="43" t="str">
        <x:v>Structural relationship</x:v>
      </x:c>
      <x:c r="G36" s="43" t="str">
        <x:v>Positive</x:v>
      </x:c>
      <x:c r="H36" s="43" t="str">
        <x:v>Attribute assortativity contributes to segregation when the attribute defines the focal groups.</x:v>
      </x:c>
      <x:c r="I36" s="43" t="str">
        <x:v>Group sizes, opportunity structure, baseline mixing, network boundary, and category definition.</x:v>
      </x:c>
      <x:c r="J36" s="43" t="str">
        <x:v>Weeks–Years</x:v>
      </x:c>
      <x:c r="K36" s="43" t="str">
        <x:v>Strong</x:v>
      </x:c>
      <x:c r="L36" s="43" t="str">
        <x:v>Assortativity and segregation require baseline-aware measures; observed similarity does not prove preference or influence.</x:v>
      </x:c>
      <x:c r="M36" s="43" t="str">
        <x:v>SRC233; SRC260; SRC270</x:v>
      </x:c>
    </x:row>
    <x:row r="37" ht="70" customHeight="1">
      <x:c r="A37" s="43" t="str">
        <x:v>REL-SOC-033</x:v>
      </x:c>
      <x:c r="B37" s="43" t="str">
        <x:v>SOC-055</x:v>
      </x:c>
      <x:c r="C37" s="43" t="str">
        <x:v>Structural Constraint</x:v>
      </x:c>
      <x:c r="D37" s="43" t="str">
        <x:v>SOC-056</x:v>
      </x:c>
      <x:c r="E37" s="43" t="str">
        <x:v>Cross-Cluster Tie Prevalence</x:v>
      </x:c>
      <x:c r="F37" s="43" t="str">
        <x:v>Structural relationship</x:v>
      </x:c>
      <x:c r="G37" s="43" t="str">
        <x:v>Negative</x:v>
      </x:c>
      <x:c r="H37" s="43" t="str">
        <x:v>Higher constraint generally accompanies fewer independent cross-cluster ties.</x:v>
      </x:c>
      <x:c r="I37" s="43" t="str">
        <x:v>Community definition, tie direction, weighted ties, network boundary, and redundant bridges.</x:v>
      </x:c>
      <x:c r="J37" s="43" t="str">
        <x:v>Immediate</x:v>
      </x:c>
      <x:c r="K37" s="43" t="str">
        <x:v>Strong</x:v>
      </x:c>
      <x:c r="L37" s="43" t="str">
        <x:v>Constraint is actor-centered; cross-cluster prevalence can be actor- or network-level, so level alignment is required.</x:v>
      </x:c>
      <x:c r="M37" s="43" t="str">
        <x:v>SRC234; SRC269</x:v>
      </x:c>
    </x:row>
    <x:row r="38" ht="70" customHeight="1">
      <x:c r="A38" s="43" t="str">
        <x:v>REL-SOC-034</x:v>
      </x:c>
      <x:c r="B38" s="43" t="str">
        <x:v>SOC-056</x:v>
      </x:c>
      <x:c r="C38" s="43" t="str">
        <x:v>Cross-Cluster Tie Prevalence</x:v>
      </x:c>
      <x:c r="D38" s="43" t="str">
        <x:v>SOC-057</x:v>
      </x:c>
      <x:c r="E38" s="43" t="str">
        <x:v>Network Segregation</x:v>
      </x:c>
      <x:c r="F38" s="43" t="str">
        <x:v>Structural relationship</x:v>
      </x:c>
      <x:c r="G38" s="43" t="str">
        <x:v>Negative</x:v>
      </x:c>
      <x:c r="H38" s="43" t="str">
        <x:v>More ties spanning focal clusters generally reduce relational segregation.</x:v>
      </x:c>
      <x:c r="I38" s="43" t="str">
        <x:v>Group size, within-cluster density, tie strength, boundary definition, and opportunity for mixing.</x:v>
      </x:c>
      <x:c r="J38" s="43" t="str">
        <x:v>Weeks–Years</x:v>
      </x:c>
      <x:c r="K38" s="43" t="str">
        <x:v>Strong</x:v>
      </x:c>
      <x:c r="L38" s="43" t="str">
        <x:v>The relation can be weak if a small number of bridges do not change most members' exposure.</x:v>
      </x:c>
      <x:c r="M38" s="43" t="str">
        <x:v>SRC233; SRC234; SRC269</x:v>
      </x:c>
    </x:row>
    <x:row r="39" ht="70" customHeight="1">
      <x:c r="A39" s="43" t="str">
        <x:v>REL-SOC-035</x:v>
      </x:c>
      <x:c r="B39" s="43" t="str">
        <x:v>SOC-053</x:v>
      </x:c>
      <x:c r="C39" s="43" t="str">
        <x:v>Local Clustering</x:v>
      </x:c>
      <x:c r="D39" s="43" t="str">
        <x:v>SOC-061</x:v>
      </x:c>
      <x:c r="E39" s="43" t="str">
        <x:v>Social Reinforcement Multiplicity</x:v>
      </x:c>
      <x:c r="F39" s="43" t="str">
        <x:v>Exposure mechanism</x:v>
      </x:c>
      <x:c r="G39" s="43" t="str">
        <x:v>Positive</x:v>
      </x:c>
      <x:c r="H39" s="43" t="str">
        <x:v>Clustering increases the chance that multiple connected neighbors provide reinforcing exposures.</x:v>
      </x:c>
      <x:c r="I39" s="43" t="str">
        <x:v>Neighbor behavior prevalence, time window, adoption threshold, tie activity, and seeding.</x:v>
      </x:c>
      <x:c r="J39" s="43" t="str">
        <x:v>Minutes–Days</x:v>
      </x:c>
      <x:c r="K39" s="43" t="str">
        <x:v>Strong</x:v>
      </x:c>
      <x:c r="L39" s="43" t="str">
        <x:v>High clustering supplies redundant reinforcement but may limit reach to new clusters.</x:v>
      </x:c>
      <x:c r="M39" s="43" t="str">
        <x:v>SRC235; SRC256</x:v>
      </x:c>
    </x:row>
    <x:row r="40" ht="70" customHeight="1">
      <x:c r="A40" s="43" t="str">
        <x:v>REL-SOC-036</x:v>
      </x:c>
      <x:c r="B40" s="43" t="str">
        <x:v>SOC-058</x:v>
      </x:c>
      <x:c r="C40" s="43" t="str">
        <x:v>Network Exposure Proportion</x:v>
      </x:c>
      <x:c r="D40" s="43" t="str">
        <x:v>SOC-061</x:v>
      </x:c>
      <x:c r="E40" s="43" t="str">
        <x:v>Social Reinforcement Multiplicity</x:v>
      </x:c>
      <x:c r="F40" s="43" t="str">
        <x:v>Structural relationship</x:v>
      </x:c>
      <x:c r="G40" s="43" t="str">
        <x:v>Positive</x:v>
      </x:c>
      <x:c r="H40" s="43" t="str">
        <x:v>More adopting neighbors generally increases the number of reinforcing sources, conditional on degree.</x:v>
      </x:c>
      <x:c r="I40" s="43" t="str">
        <x:v>Degree, exposure timing, source independence, tie activity, and network missingness.</x:v>
      </x:c>
      <x:c r="J40" s="43" t="str">
        <x:v>Immediate</x:v>
      </x:c>
      <x:c r="K40" s="43" t="str">
        <x:v>Strong</x:v>
      </x:c>
      <x:c r="L40" s="43" t="str">
        <x:v>Proportion and count encode different exposure functions and should not be collapsed.</x:v>
      </x:c>
      <x:c r="M40" s="43" t="str">
        <x:v>SRC235; SRC236</x:v>
      </x:c>
    </x:row>
    <x:row r="41" ht="70" customHeight="1">
      <x:c r="A41" s="43" t="str">
        <x:v>REL-SOC-037</x:v>
      </x:c>
      <x:c r="B41" s="43" t="str">
        <x:v>SOC-062</x:v>
      </x:c>
      <x:c r="C41" s="43" t="str">
        <x:v>Influential-Referent Exposure</x:v>
      </x:c>
      <x:c r="D41" s="43" t="str">
        <x:v>SOC-001</x:v>
      </x:c>
      <x:c r="E41" s="43" t="str">
        <x:v>Behavioral Prevalence</x:v>
      </x:c>
      <x:c r="F41" s="43" t="str">
        <x:v>Causal candidate</x:v>
      </x:c>
      <x:c r="G41" s="43" t="str">
        <x:v>Positive</x:v>
      </x:c>
      <x:c r="H41" s="43" t="str">
        <x:v>Exposure through central referents can increase adoption prevalence with network-dependent spillovers.</x:v>
      </x:c>
      <x:c r="I41" s="43" t="str">
        <x:v>Referent selection, behavior type, tie strength, baseline norm, susceptibility, and intervention saturation.</x:v>
      </x:c>
      <x:c r="J41" s="43" t="str">
        <x:v>Days–Weeks</x:v>
      </x:c>
      <x:c r="K41" s="43" t="str">
        <x:v>Strong</x:v>
      </x:c>
      <x:c r="L41" s="43" t="str">
        <x:v>Randomized network experiments support influence but effects remain behavior- and context-specific.</x:v>
      </x:c>
      <x:c r="M41" s="43" t="str">
        <x:v>SRC236; SRC250; SRC237</x:v>
      </x:c>
    </x:row>
    <x:row r="42" ht="70" customHeight="1">
      <x:c r="A42" s="43" t="str">
        <x:v>REL-SOC-038</x:v>
      </x:c>
      <x:c r="B42" s="43" t="str">
        <x:v>SOC-064</x:v>
      </x:c>
      <x:c r="C42" s="43" t="str">
        <x:v>Group Size</x:v>
      </x:c>
      <x:c r="D42" s="43" t="str">
        <x:v>SOC-079</x:v>
      </x:c>
      <x:c r="E42" s="43" t="str">
        <x:v>Contribution Identifiability</x:v>
      </x:c>
      <x:c r="F42" s="43" t="str">
        <x:v>Structural relationship</x:v>
      </x:c>
      <x:c r="G42" s="43" t="str">
        <x:v>Negative</x:v>
      </x:c>
      <x:c r="H42" s="43" t="str">
        <x:v>Larger groups often make individual input harder to distinguish unless work is explicitly tracked.</x:v>
      </x:c>
      <x:c r="I42" s="43" t="str">
        <x:v>Task divisibility, trace systems, role clarity, output visibility, and workflow.</x:v>
      </x:c>
      <x:c r="J42" s="43" t="str">
        <x:v>Immediate</x:v>
      </x:c>
      <x:c r="K42" s="43" t="str">
        <x:v>Strong</x:v>
      </x:c>
      <x:c r="L42" s="43" t="str">
        <x:v>Group size is an opportunity condition; identifiability can be engineered independently.</x:v>
      </x:c>
      <x:c r="M42" s="43" t="str">
        <x:v>SRC240; SRC267</x:v>
      </x:c>
    </x:row>
    <x:row r="43" ht="70" customHeight="1">
      <x:c r="A43" s="43" t="str">
        <x:v>REL-SOC-039</x:v>
      </x:c>
      <x:c r="B43" s="43" t="str">
        <x:v>SOC-064</x:v>
      </x:c>
      <x:c r="C43" s="43" t="str">
        <x:v>Group Size</x:v>
      </x:c>
      <x:c r="D43" s="43" t="str">
        <x:v>SOC-080</x:v>
      </x:c>
      <x:c r="E43" s="43" t="str">
        <x:v>Responsibility Concentration</x:v>
      </x:c>
      <x:c r="F43" s="43" t="str">
        <x:v>Structural relationship</x:v>
      </x:c>
      <x:c r="G43" s="43" t="str">
        <x:v>Negative</x:v>
      </x:c>
      <x:c r="H43" s="43" t="str">
        <x:v>Absent explicit assignment, larger groups tend to diffuse responsibility across more actors.</x:v>
      </x:c>
      <x:c r="I43" s="43" t="str">
        <x:v>Emergency danger, competence, direct requests, role assignment, and group cohesion.</x:v>
      </x:c>
      <x:c r="J43" s="43" t="str">
        <x:v>Seconds–Minutes</x:v>
      </x:c>
      <x:c r="K43" s="43" t="str">
        <x:v>Strong</x:v>
      </x:c>
      <x:c r="L43" s="43" t="str">
        <x:v>Dangerous situations and cohesive groups can weaken or reverse average bystander effects.</x:v>
      </x:c>
      <x:c r="M43" s="43" t="str">
        <x:v>SRC239</x:v>
      </x:c>
    </x:row>
    <x:row r="44" ht="70" customHeight="1">
      <x:c r="A44" s="43" t="str">
        <x:v>REL-SOC-040</x:v>
      </x:c>
      <x:c r="B44" s="43" t="str">
        <x:v>SOC-066</x:v>
      </x:c>
      <x:c r="C44" s="43" t="str">
        <x:v>Member Turnover Rate</x:v>
      </x:c>
      <x:c r="D44" s="43" t="str">
        <x:v>SOC-065</x:v>
      </x:c>
      <x:c r="E44" s="43" t="str">
        <x:v>Group Cohesion</x:v>
      </x:c>
      <x:c r="F44" s="43" t="str">
        <x:v>Causal candidate</x:v>
      </x:c>
      <x:c r="G44" s="43" t="str">
        <x:v>Negative</x:v>
      </x:c>
      <x:c r="H44" s="43" t="str">
        <x:v>Higher turnover generally disrupts shared history and cohesion, though removal of conflictual members can reverse the effect.</x:v>
      </x:c>
      <x:c r="I44" s="43" t="str">
        <x:v>Turnover voluntariness, replacement quality, tenure, onboarding, task, and prior conflict.</x:v>
      </x:c>
      <x:c r="J44" s="43" t="str">
        <x:v>Days–Months</x:v>
      </x:c>
      <x:c r="K44" s="43" t="str">
        <x:v>Moderate</x:v>
      </x:c>
      <x:c r="L44" s="43" t="str">
        <x:v>Turnover and cohesion may also share causes such as leadership or performance problems.</x:v>
      </x:c>
      <x:c r="M44" s="43" t="str">
        <x:v>SRC254; SRC262</x:v>
      </x:c>
    </x:row>
    <x:row r="45" ht="70" customHeight="1">
      <x:c r="A45" s="43" t="str">
        <x:v>REL-SOC-041</x:v>
      </x:c>
      <x:c r="B45" s="43" t="str">
        <x:v>SOC-068</x:v>
      </x:c>
      <x:c r="C45" s="43" t="str">
        <x:v>Opinion Diversity</x:v>
      </x:c>
      <x:c r="D45" s="43" t="str">
        <x:v>SOC-069</x:v>
      </x:c>
      <x:c r="E45" s="43" t="str">
        <x:v>Dissent Availability</x:v>
      </x:c>
      <x:c r="F45" s="43" t="str">
        <x:v>Opportunity relationship</x:v>
      </x:c>
      <x:c r="G45" s="43" t="str">
        <x:v>Positive</x:v>
      </x:c>
      <x:c r="H45" s="43" t="str">
        <x:v>Greater underlying viewpoint dispersion increases potential dissent when expression is safe and visible.</x:v>
      </x:c>
      <x:c r="I45" s="43" t="str">
        <x:v>Response privacy, status hierarchy, psychological safety, sanctions, and facilitation.</x:v>
      </x:c>
      <x:c r="J45" s="43" t="str">
        <x:v>Minutes–Days</x:v>
      </x:c>
      <x:c r="K45" s="43" t="str">
        <x:v>Moderate</x:v>
      </x:c>
      <x:c r="L45" s="43" t="str">
        <x:v>Diverse private views do not guarantee publicly available dissent.</x:v>
      </x:c>
      <x:c r="M45" s="43" t="str">
        <x:v>SRC267; SRC271</x:v>
      </x:c>
    </x:row>
    <x:row r="46" ht="70" customHeight="1">
      <x:c r="A46" s="43" t="str">
        <x:v>REL-SOC-042</x:v>
      </x:c>
      <x:c r="B46" s="43" t="str">
        <x:v>SOC-069</x:v>
      </x:c>
      <x:c r="C46" s="43" t="str">
        <x:v>Dissent Availability</x:v>
      </x:c>
      <x:c r="D46" s="43" t="str">
        <x:v>SOC-071</x:v>
      </x:c>
      <x:c r="E46" s="43" t="str">
        <x:v>Shared Information Coverage</x:v>
      </x:c>
      <x:c r="F46" s="43" t="str">
        <x:v>Causal candidate</x:v>
      </x:c>
      <x:c r="G46" s="43" t="str">
        <x:v>Positive</x:v>
      </x:c>
      <x:c r="H46" s="43" t="str">
        <x:v>Visible alternatives can stimulate broader search and disclosure of unshared information.</x:v>
      </x:c>
      <x:c r="I46" s="43" t="str">
        <x:v>Minority consistency, decision rule, leader openness, task demonstrability, and time pressure.</x:v>
      </x:c>
      <x:c r="J46" s="43" t="str">
        <x:v>Minutes–Hours</x:v>
      </x:c>
      <x:c r="K46" s="43" t="str">
        <x:v>Moderate</x:v>
      </x:c>
      <x:c r="L46" s="43" t="str">
        <x:v>Dissent can improve information search but can also create conflict or delay.</x:v>
      </x:c>
      <x:c r="M46" s="43" t="str">
        <x:v>SRC214; SRC271; SRC263</x:v>
      </x:c>
    </x:row>
    <x:row r="47" ht="70" customHeight="1">
      <x:c r="A47" s="43" t="str">
        <x:v>REL-SOC-043</x:v>
      </x:c>
      <x:c r="B47" s="43" t="str">
        <x:v>SOC-070</x:v>
      </x:c>
      <x:c r="C47" s="43" t="str">
        <x:v>Communication Participation Equality</x:v>
      </x:c>
      <x:c r="D47" s="43" t="str">
        <x:v>SOC-071</x:v>
      </x:c>
      <x:c r="E47" s="43" t="str">
        <x:v>Shared Information Coverage</x:v>
      </x:c>
      <x:c r="F47" s="43" t="str">
        <x:v>Causal candidate</x:v>
      </x:c>
      <x:c r="G47" s="43" t="str">
        <x:v>Positive</x:v>
      </x:c>
      <x:c r="H47" s="43" t="str">
        <x:v>More equal participation increases opportunities for distributed information to enter discussion.</x:v>
      </x:c>
      <x:c r="I47" s="43" t="str">
        <x:v>Expertise distribution, information uniqueness, facilitation, group size, and time limits.</x:v>
      </x:c>
      <x:c r="J47" s="43" t="str">
        <x:v>Minutes–Hours</x:v>
      </x:c>
      <x:c r="K47" s="43" t="str">
        <x:v>Strong</x:v>
      </x:c>
      <x:c r="L47" s="43" t="str">
        <x:v>Equal time is not sufficient if members possess redundant or low-quality information.</x:v>
      </x:c>
      <x:c r="M47" s="43" t="str">
        <x:v>SRC263; SRC267</x:v>
      </x:c>
    </x:row>
    <x:row r="48" ht="70" customHeight="1">
      <x:c r="A48" s="43" t="str">
        <x:v>REL-SOC-044</x:v>
      </x:c>
      <x:c r="B48" s="43" t="str">
        <x:v>SOC-072</x:v>
      </x:c>
      <x:c r="C48" s="43" t="str">
        <x:v>Subgroup Fractionalization</x:v>
      </x:c>
      <x:c r="D48" s="43" t="str">
        <x:v>SOC-070</x:v>
      </x:c>
      <x:c r="E48" s="43" t="str">
        <x:v>Communication Participation Equality</x:v>
      </x:c>
      <x:c r="F48" s="43" t="str">
        <x:v>Causal candidate</x:v>
      </x:c>
      <x:c r="G48" s="43" t="str">
        <x:v>Contingent</x:v>
      </x:c>
      <x:c r="H48" s="43" t="str">
        <x:v>Factionalization can reduce cross-faction participation and concentrate voice within dominant coalitions.</x:v>
      </x:c>
      <x:c r="I48" s="43" t="str">
        <x:v>Relative subgroup size, cross-cutting ties, leadership, conflict, and meeting structure.</x:v>
      </x:c>
      <x:c r="J48" s="43" t="str">
        <x:v>Hours–Weeks</x:v>
      </x:c>
      <x:c r="K48" s="43" t="str">
        <x:v>Limited</x:v>
      </x:c>
      <x:c r="L48" s="43" t="str">
        <x:v>Direction depends on whether subgroups provide voice to minorities or entrench exclusion.</x:v>
      </x:c>
      <x:c r="M48" s="43" t="str">
        <x:v>SRC254; SRC267</x:v>
      </x:c>
    </x:row>
    <x:row r="49" ht="70" customHeight="1">
      <x:c r="A49" s="43" t="str">
        <x:v>REL-SOC-045</x:v>
      </x:c>
      <x:c r="B49" s="43" t="str">
        <x:v>SOC-075</x:v>
      </x:c>
      <x:c r="C49" s="43" t="str">
        <x:v>Common Knowledge Degree</x:v>
      </x:c>
      <x:c r="D49" s="43" t="str">
        <x:v>SOC-076</x:v>
      </x:c>
      <x:c r="E49" s="43" t="str">
        <x:v>Mutual Expectation Alignment</x:v>
      </x:c>
      <x:c r="F49" s="43" t="str">
        <x:v>Causal candidate</x:v>
      </x:c>
      <x:c r="G49" s="43" t="str">
        <x:v>Positive</x:v>
      </x:c>
      <x:c r="H49" s="43" t="str">
        <x:v>Common knowledge increases convergence in expectations about others' awareness and likely action.</x:v>
      </x:c>
      <x:c r="I49" s="43" t="str">
        <x:v>Signal publicness, group size, communication reliability, strategic risk, and prior conventions.</x:v>
      </x:c>
      <x:c r="J49" s="43" t="str">
        <x:v>Seconds–Minutes</x:v>
      </x:c>
      <x:c r="K49" s="43" t="str">
        <x:v>Strong</x:v>
      </x:c>
      <x:c r="L49" s="43" t="str">
        <x:v>Shared information without mutual recognition may not produce the same coordination benefit.</x:v>
      </x:c>
      <x:c r="M49" s="43" t="str">
        <x:v>SRC265</x:v>
      </x:c>
    </x:row>
    <x:row r="50" ht="70" customHeight="1">
      <x:c r="A50" s="43" t="str">
        <x:v>REL-SOC-046</x:v>
      </x:c>
      <x:c r="B50" s="43" t="str">
        <x:v>SOC-074</x:v>
      </x:c>
      <x:c r="C50" s="43" t="str">
        <x:v>Goal Alignment</x:v>
      </x:c>
      <x:c r="D50" s="43" t="str">
        <x:v>SOC-034</x:v>
      </x:c>
      <x:c r="E50" s="43" t="str">
        <x:v>Cooperation Prevalence</x:v>
      </x:c>
      <x:c r="F50" s="43" t="str">
        <x:v>Causal candidate</x:v>
      </x:c>
      <x:c r="G50" s="43" t="str">
        <x:v>Positive</x:v>
      </x:c>
      <x:c r="H50" s="43" t="str">
        <x:v>More aligned goals generally increase cooperative contribution, with saturation when capacity or coordination is limiting.</x:v>
      </x:c>
      <x:c r="I50" s="43" t="str">
        <x:v>Incentives, task interdependence, trust, resource scarcity, and implementation clarity.</x:v>
      </x:c>
      <x:c r="J50" s="43" t="str">
        <x:v>Minutes–Days</x:v>
      </x:c>
      <x:c r="K50" s="43" t="str">
        <x:v>Strong</x:v>
      </x:c>
      <x:c r="L50" s="43" t="str">
        <x:v>Aligned stated goals do not guarantee action and can mask disagreement about means.</x:v>
      </x:c>
      <x:c r="M50" s="43" t="str">
        <x:v>SRC261; SRC267; SRC238</x:v>
      </x:c>
    </x:row>
    <x:row r="51" ht="70" customHeight="1">
      <x:c r="A51" s="43" t="str">
        <x:v>REL-SOC-047</x:v>
      </x:c>
      <x:c r="B51" s="43" t="str">
        <x:v>SOC-077</x:v>
      </x:c>
      <x:c r="C51" s="43" t="str">
        <x:v>Collective Efficacy</x:v>
      </x:c>
      <x:c r="D51" s="43" t="str">
        <x:v>SOC-034</x:v>
      </x:c>
      <x:c r="E51" s="43" t="str">
        <x:v>Cooperation Prevalence</x:v>
      </x:c>
      <x:c r="F51" s="43" t="str">
        <x:v>Causal candidate</x:v>
      </x:c>
      <x:c r="G51" s="43" t="str">
        <x:v>Positive</x:v>
      </x:c>
      <x:c r="H51" s="43" t="str">
        <x:v>Shared capability beliefs support collective effort when goals are valued and opportunities exist.</x:v>
      </x:c>
      <x:c r="I51" s="43" t="str">
        <x:v>Goal alignment, actual resources, prior success, identity, task difficulty, and leadership.</x:v>
      </x:c>
      <x:c r="J51" s="43" t="str">
        <x:v>Minutes–Days</x:v>
      </x:c>
      <x:c r="K51" s="43" t="str">
        <x:v>Strong</x:v>
      </x:c>
      <x:c r="L51" s="43" t="str">
        <x:v>Collective efficacy is a shared belief and should not substitute for objective capability.</x:v>
      </x:c>
      <x:c r="M51" s="43" t="str">
        <x:v>SRC238; SRC218</x:v>
      </x:c>
    </x:row>
    <x:row r="52" ht="70" customHeight="1">
      <x:c r="A52" s="43" t="str">
        <x:v>REL-SOC-048</x:v>
      </x:c>
      <x:c r="B52" s="43" t="str">
        <x:v>SOC-079</x:v>
      </x:c>
      <x:c r="C52" s="43" t="str">
        <x:v>Contribution Identifiability</x:v>
      </x:c>
      <x:c r="D52" s="43" t="str">
        <x:v>SOC-039</x:v>
      </x:c>
      <x:c r="E52" s="43" t="str">
        <x:v>Free-Riding Prevalence</x:v>
      </x:c>
      <x:c r="F52" s="43" t="str">
        <x:v>Causal candidate</x:v>
      </x:c>
      <x:c r="G52" s="43" t="str">
        <x:v>Negative</x:v>
      </x:c>
      <x:c r="H52" s="43" t="str">
        <x:v>Identifiable contributions generally reduce undercontribution by increasing evaluation and accountability.</x:v>
      </x:c>
      <x:c r="I52" s="43" t="str">
        <x:v>Task meaningfulness, contribution necessity, group size, incentives, and culture.</x:v>
      </x:c>
      <x:c r="J52" s="43" t="str">
        <x:v>Minutes–Days</x:v>
      </x:c>
      <x:c r="K52" s="43" t="str">
        <x:v>Strong</x:v>
      </x:c>
      <x:c r="L52" s="43" t="str">
        <x:v>Identifiability can also increase evaluation pressure and strategic effort allocation.</x:v>
      </x:c>
      <x:c r="M52" s="43" t="str">
        <x:v>SRC240; SRC229</x:v>
      </x:c>
    </x:row>
    <x:row r="53" ht="70" customHeight="1">
      <x:c r="A53" s="43" t="str">
        <x:v>REL-SOC-049</x:v>
      </x:c>
      <x:c r="B53" s="43" t="str">
        <x:v>SOC-078</x:v>
      </x:c>
      <x:c r="C53" s="43" t="str">
        <x:v>Role Clarity</x:v>
      </x:c>
      <x:c r="D53" s="43" t="str">
        <x:v>SOC-080</x:v>
      </x:c>
      <x:c r="E53" s="43" t="str">
        <x:v>Responsibility Concentration</x:v>
      </x:c>
      <x:c r="F53" s="43" t="str">
        <x:v>Causal candidate</x:v>
      </x:c>
      <x:c r="G53" s="43" t="str">
        <x:v>Positive</x:v>
      </x:c>
      <x:c r="H53" s="43" t="str">
        <x:v>Clear role assignment concentrates responsibility for specified actions on identifiable members.</x:v>
      </x:c>
      <x:c r="I53" s="43" t="str">
        <x:v>Role acceptance, staffing, emergencies, overlapping duties, and formal authority.</x:v>
      </x:c>
      <x:c r="J53" s="43" t="str">
        <x:v>Minutes–Days</x:v>
      </x:c>
      <x:c r="K53" s="43" t="str">
        <x:v>Moderate</x:v>
      </x:c>
      <x:c r="L53" s="43" t="str">
        <x:v>Clarity must be mutually understood and feasible; nominal assignment alone may not produce action.</x:v>
      </x:c>
      <x:c r="M53" s="43" t="str">
        <x:v>SRC262; SRC267</x:v>
      </x:c>
    </x:row>
    <x:row r="54" ht="70" customHeight="1">
      <x:c r="A54" s="43" t="str">
        <x:v>REL-SOC-050</x:v>
      </x:c>
      <x:c r="B54" s="43" t="str">
        <x:v>SOC-083</x:v>
      </x:c>
      <x:c r="C54" s="43" t="str">
        <x:v>Audience Size</x:v>
      </x:c>
      <x:c r="D54" s="43" t="str">
        <x:v>SOC-080</x:v>
      </x:c>
      <x:c r="E54" s="43" t="str">
        <x:v>Responsibility Concentration</x:v>
      </x:c>
      <x:c r="F54" s="43" t="str">
        <x:v>Causal candidate</x:v>
      </x:c>
      <x:c r="G54" s="43" t="str">
        <x:v>Negative</x:v>
      </x:c>
      <x:c r="H54" s="43" t="str">
        <x:v>Larger unassigned audiences generally disperse responsibility, with important danger and group-membership exceptions.</x:v>
      </x:c>
      <x:c r="I54" s="43" t="str">
        <x:v>Emergency severity, competence, direct request, group cohesion, and victim relationship.</x:v>
      </x:c>
      <x:c r="J54" s="43" t="str">
        <x:v>Seconds–Minutes</x:v>
      </x:c>
      <x:c r="K54" s="43" t="str">
        <x:v>Strong</x:v>
      </x:c>
      <x:c r="L54" s="43" t="str">
        <x:v>This is a social opportunity condition, not the psychological diffusion-of-responsibility mechanism itself.</x:v>
      </x:c>
      <x:c r="M54" s="43" t="str">
        <x:v>SRC239</x:v>
      </x:c>
    </x:row>
    <x:row r="55" ht="70" customHeight="1">
      <x:c r="A55" s="43" t="str">
        <x:v>REL-SOC-051</x:v>
      </x:c>
      <x:c r="B55" s="43" t="str">
        <x:v>SOC-084</x:v>
      </x:c>
      <x:c r="C55" s="43" t="str">
        <x:v>Actor Identifiability</x:v>
      </x:c>
      <x:c r="D55" s="43" t="str">
        <x:v>SOC-081</x:v>
      </x:c>
      <x:c r="E55" s="43" t="str">
        <x:v>Peer Accountability Intensity</x:v>
      </x:c>
      <x:c r="F55" s="43" t="str">
        <x:v>Causal candidate</x:v>
      </x:c>
      <x:c r="G55" s="43" t="str">
        <x:v>Positive</x:v>
      </x:c>
      <x:c r="H55" s="43" t="str">
        <x:v>Greater identifiability makes peer answerability and consequence assignment more feasible.</x:v>
      </x:c>
      <x:c r="I55" s="43" t="str">
        <x:v>Audience reach, evaluation criteria, power, anonymity norms, and trace reliability.</x:v>
      </x:c>
      <x:c r="J55" s="43" t="str">
        <x:v>Seconds–Hours</x:v>
      </x:c>
      <x:c r="K55" s="43" t="str">
        <x:v>Moderate</x:v>
      </x:c>
      <x:c r="L55" s="43" t="str">
        <x:v>Identification does not itself create a fair or legitimate accountability process.</x:v>
      </x:c>
      <x:c r="M55" s="43" t="str">
        <x:v>SRC229; SRC257</x:v>
      </x:c>
    </x:row>
    <x:row r="56" ht="70" customHeight="1">
      <x:c r="A56" s="43" t="str">
        <x:v>REL-SOC-052</x:v>
      </x:c>
      <x:c r="B56" s="43" t="str">
        <x:v>SOC-085</x:v>
      </x:c>
      <x:c r="C56" s="43" t="str">
        <x:v>Action Publicness</x:v>
      </x:c>
      <x:c r="D56" s="43" t="str">
        <x:v>SOC-044</x:v>
      </x:c>
      <x:c r="E56" s="43" t="str">
        <x:v>Reputation Visibility</x:v>
      </x:c>
      <x:c r="F56" s="43" t="str">
        <x:v>Causal candidate</x:v>
      </x:c>
      <x:c r="G56" s="43" t="str">
        <x:v>Positive</x:v>
      </x:c>
      <x:c r="H56" s="43" t="str">
        <x:v>Public actions make behavior available to wider reputational audiences.</x:v>
      </x:c>
      <x:c r="I56" s="43" t="str">
        <x:v>Audience size, actor identifiability, information persistence, credibility, and gossip transmission.</x:v>
      </x:c>
      <x:c r="J56" s="43" t="str">
        <x:v>Seconds–Days</x:v>
      </x:c>
      <x:c r="K56" s="43" t="str">
        <x:v>Strong</x:v>
      </x:c>
      <x:c r="L56" s="43" t="str">
        <x:v>Publicness can increase reputation visibility without determining whether reputation becomes positive or negative.</x:v>
      </x:c>
      <x:c r="M56" s="43" t="str">
        <x:v>SRC229; SRC249; SRC257</x:v>
      </x:c>
    </x:row>
    <x:row r="57" ht="70" customHeight="1">
      <x:c r="A57" s="43" t="str">
        <x:v>REL-SOC-053</x:v>
      </x:c>
      <x:c r="B57" s="43" t="str">
        <x:v>SOC-087</x:v>
      </x:c>
      <x:c r="C57" s="43" t="str">
        <x:v>Peer Monitoring Intensity</x:v>
      </x:c>
      <x:c r="D57" s="43" t="str">
        <x:v>SOC-006</x:v>
      </x:c>
      <x:c r="E57" s="43" t="str">
        <x:v>Informal Sanction Probability</x:v>
      </x:c>
      <x:c r="F57" s="43" t="str">
        <x:v>Causal candidate</x:v>
      </x:c>
      <x:c r="G57" s="43" t="str">
        <x:v>Positive</x:v>
      </x:c>
      <x:c r="H57" s="43" t="str">
        <x:v>More intensive monitoring raises detection and opportunity for peer sanction, often with saturation.</x:v>
      </x:c>
      <x:c r="I57" s="43" t="str">
        <x:v>Violation visibility, sanction norms, monitoring accuracy, relationship closeness, and retaliation risk.</x:v>
      </x:c>
      <x:c r="J57" s="43" t="str">
        <x:v>Minutes–Days</x:v>
      </x:c>
      <x:c r="K57" s="43" t="str">
        <x:v>Strong</x:v>
      </x:c>
      <x:c r="L57" s="43" t="str">
        <x:v>Monitoring is not equivalent to punishment; peers may observe without sanctioning.</x:v>
      </x:c>
      <x:c r="M57" s="43" t="str">
        <x:v>SRC226; SRC229; SRC251</x:v>
      </x:c>
    </x:row>
    <x:row r="58" ht="70" customHeight="1">
      <x:c r="A58" s="43" t="str">
        <x:v>REL-SOC-054</x:v>
      </x:c>
      <x:c r="B58" s="43" t="str">
        <x:v>SOC-088</x:v>
      </x:c>
      <x:c r="C58" s="43" t="str">
        <x:v>Intergroup Contact Frequency</x:v>
      </x:c>
      <x:c r="D58" s="43" t="str">
        <x:v>SOC-090</x:v>
      </x:c>
      <x:c r="E58" s="43" t="str">
        <x:v>Cross-Group Friendship Prevalence</x:v>
      </x:c>
      <x:c r="F58" s="43" t="str">
        <x:v>Causal candidate</x:v>
      </x:c>
      <x:c r="G58" s="43" t="str">
        <x:v>Positive</x:v>
      </x:c>
      <x:c r="H58" s="43" t="str">
        <x:v>Repeated contact creates opportunity for friendship, with strong selection and quality conditions.</x:v>
      </x:c>
      <x:c r="I58" s="43" t="str">
        <x:v>Contact quality, equal status, voluntariness, cooperation, institutional support, and prior prejudice.</x:v>
      </x:c>
      <x:c r="J58" s="43" t="str">
        <x:v>Weeks–Months</x:v>
      </x:c>
      <x:c r="K58" s="43" t="str">
        <x:v>Strong</x:v>
      </x:c>
      <x:c r="L58" s="43" t="str">
        <x:v>Frequency is necessary for many friendships but low-quality or hostile contact may not help.</x:v>
      </x:c>
      <x:c r="M58" s="43" t="str">
        <x:v>SRC244; SRC247; SRC266; SRC268</x:v>
      </x:c>
    </x:row>
    <x:row r="59" ht="70" customHeight="1">
      <x:c r="A59" s="43" t="str">
        <x:v>REL-SOC-055</x:v>
      </x:c>
      <x:c r="B59" s="43" t="str">
        <x:v>SOC-089</x:v>
      </x:c>
      <x:c r="C59" s="43" t="str">
        <x:v>Intergroup Contact Quality</x:v>
      </x:c>
      <x:c r="D59" s="43" t="str">
        <x:v>SOC-090</x:v>
      </x:c>
      <x:c r="E59" s="43" t="str">
        <x:v>Cross-Group Friendship Prevalence</x:v>
      </x:c>
      <x:c r="F59" s="43" t="str">
        <x:v>Causal candidate</x:v>
      </x:c>
      <x:c r="G59" s="43" t="str">
        <x:v>Positive</x:v>
      </x:c>
      <x:c r="H59" s="43" t="str">
        <x:v>Constructive, voluntary, cooperative contact more often develops into cross-group friendship.</x:v>
      </x:c>
      <x:c r="I59" s="43" t="str">
        <x:v>Contact frequency, equality, disclosure, shared goals, prior conflict, and opportunity beyond the setting.</x:v>
      </x:c>
      <x:c r="J59" s="43" t="str">
        <x:v>Weeks–Months</x:v>
      </x:c>
      <x:c r="K59" s="43" t="str">
        <x:v>Strong</x:v>
      </x:c>
      <x:c r="L59" s="43" t="str">
        <x:v>Friendship and contact quality are distinct and may reciprocally reinforce one another.</x:v>
      </x:c>
      <x:c r="M59" s="43" t="str">
        <x:v>SRC244; SRC247; SRC266</x:v>
      </x:c>
    </x:row>
    <x:row r="60" ht="70" customHeight="1">
      <x:c r="A60" s="43" t="str">
        <x:v>REL-SOC-056</x:v>
      </x:c>
      <x:c r="B60" s="43" t="str">
        <x:v>SOC-090</x:v>
      </x:c>
      <x:c r="C60" s="43" t="str">
        <x:v>Cross-Group Friendship Prevalence</x:v>
      </x:c>
      <x:c r="D60" s="43" t="str">
        <x:v>SOC-095</x:v>
      </x:c>
      <x:c r="E60" s="43" t="str">
        <x:v>Cross-Group Tie Density</x:v>
      </x:c>
      <x:c r="F60" s="43" t="str">
        <x:v>Structural relationship</x:v>
      </x:c>
      <x:c r="G60" s="43" t="str">
        <x:v>Positive</x:v>
      </x:c>
      <x:c r="H60" s="43" t="str">
        <x:v>More prevalent cross-group friendship increases between-group tie density under compatible tie definitions.</x:v>
      </x:c>
      <x:c r="I60" s="43" t="str">
        <x:v>Group size, friendship reciprocity, network boundary, and whether all cross-group ties or close ties are counted.</x:v>
      </x:c>
      <x:c r="J60" s="43" t="str">
        <x:v>Immediate–Months</x:v>
      </x:c>
      <x:c r="K60" s="43" t="str">
        <x:v>Strong</x:v>
      </x:c>
      <x:c r="L60" s="43" t="str">
        <x:v>Friendship is a close-tie subset, while cross-group density may include weaker relations.</x:v>
      </x:c>
      <x:c r="M60" s="43" t="str">
        <x:v>SRC266; SRC244</x:v>
      </x:c>
    </x:row>
    <x:row r="61" ht="70" customHeight="1">
      <x:c r="A61" s="43" t="str">
        <x:v>REL-SOC-057</x:v>
      </x:c>
      <x:c r="B61" s="43" t="str">
        <x:v>SOC-092</x:v>
      </x:c>
      <x:c r="C61" s="43" t="str">
        <x:v>Intergroup Competition Intensity</x:v>
      </x:c>
      <x:c r="D61" s="43" t="str">
        <x:v>SOC-089</x:v>
      </x:c>
      <x:c r="E61" s="43" t="str">
        <x:v>Intergroup Contact Quality</x:v>
      </x:c>
      <x:c r="F61" s="43" t="str">
        <x:v>Causal candidate</x:v>
      </x:c>
      <x:c r="G61" s="43" t="str">
        <x:v>Negative</x:v>
      </x:c>
      <x:c r="H61" s="43" t="str">
        <x:v>More zero-sum rivalry generally reduces cooperative and respectful contact quality.</x:v>
      </x:c>
      <x:c r="I61" s="43" t="str">
        <x:v>Rules, shared superordinate goals, equal status, prior conflict, and resource scarcity.</x:v>
      </x:c>
      <x:c r="J61" s="43" t="str">
        <x:v>Hours–Months</x:v>
      </x:c>
      <x:c r="K61" s="43" t="str">
        <x:v>Moderate</x:v>
      </x:c>
      <x:c r="L61" s="43" t="str">
        <x:v>Structured competition can coexist with respectful contact, so the edge is conditional rather than universal.</x:v>
      </x:c>
      <x:c r="M61" s="43" t="str">
        <x:v>SRC245; SRC273</x:v>
      </x:c>
    </x:row>
    <x:row r="62" ht="70" customHeight="1">
      <x:c r="A62" s="43" t="str">
        <x:v>REL-SOC-058</x:v>
      </x:c>
      <x:c r="B62" s="43" t="str">
        <x:v>SOC-093</x:v>
      </x:c>
      <x:c r="C62" s="43" t="str">
        <x:v>Intergroup Resource Interdependence</x:v>
      </x:c>
      <x:c r="D62" s="43" t="str">
        <x:v>SOC-091</x:v>
      </x:c>
      <x:c r="E62" s="43" t="str">
        <x:v>Intergroup Cooperation</x:v>
      </x:c>
      <x:c r="F62" s="43" t="str">
        <x:v>Causal candidate</x:v>
      </x:c>
      <x:c r="G62" s="43" t="str">
        <x:v>Contingent</x:v>
      </x:c>
      <x:c r="H62" s="43" t="str">
        <x:v>Mutual dependence can increase cooperation when gains are shared and credible, or intensify conflict when leverage is asymmetric.</x:v>
      </x:c>
      <x:c r="I62" s="43" t="str">
        <x:v>Dependence symmetry, alternatives, trust, institutions, scarcity, and history of exchange.</x:v>
      </x:c>
      <x:c r="J62" s="43" t="str">
        <x:v>Days–Months</x:v>
      </x:c>
      <x:c r="K62" s="43" t="str">
        <x:v>Moderate</x:v>
      </x:c>
      <x:c r="L62" s="43" t="str">
        <x:v>The functional form depends on whether interdependence is positive-sum, coercive, or zero-sum.</x:v>
      </x:c>
      <x:c r="M62" s="43" t="str">
        <x:v>SRC223; SRC228; SRC273</x:v>
      </x:c>
    </x:row>
    <x:row r="63" ht="70" customHeight="1">
      <x:c r="A63" s="43" t="str">
        <x:v>REL-SOC-059</x:v>
      </x:c>
      <x:c r="B63" s="43" t="str">
        <x:v>SOC-094</x:v>
      </x:c>
      <x:c r="C63" s="43" t="str">
        <x:v>Boundary Permeability</x:v>
      </x:c>
      <x:c r="D63" s="43" t="str">
        <x:v>SOC-095</x:v>
      </x:c>
      <x:c r="E63" s="43" t="str">
        <x:v>Cross-Group Tie Density</x:v>
      </x:c>
      <x:c r="F63" s="43" t="str">
        <x:v>Causal candidate</x:v>
      </x:c>
      <x:c r="G63" s="43" t="str">
        <x:v>Positive</x:v>
      </x:c>
      <x:c r="H63" s="43" t="str">
        <x:v>More permeable boundaries generally permit more cross-group ties and memberships.</x:v>
      </x:c>
      <x:c r="I63" s="43" t="str">
        <x:v>Geographic proximity, institutional barriers, stigma, group size, and opportunity structure.</x:v>
      </x:c>
      <x:c r="J63" s="43" t="str">
        <x:v>Weeks–Years</x:v>
      </x:c>
      <x:c r="K63" s="43" t="str">
        <x:v>Moderate</x:v>
      </x:c>
      <x:c r="L63" s="43" t="str">
        <x:v>Permeability enables but does not ensure cross-group relationships.</x:v>
      </x:c>
      <x:c r="M63" s="43" t="str">
        <x:v>SRC216; SRC268; SRC273</x:v>
      </x:c>
    </x:row>
    <x:row r="64" ht="70" customHeight="1">
      <x:c r="A64" s="43" t="str">
        <x:v>REL-SOC-060</x:v>
      </x:c>
      <x:c r="B64" s="43" t="str">
        <x:v>SOC-096</x:v>
      </x:c>
      <x:c r="C64" s="43" t="str">
        <x:v>Intergroup Status Inequality</x:v>
      </x:c>
      <x:c r="D64" s="43" t="str">
        <x:v>SOC-089</x:v>
      </x:c>
      <x:c r="E64" s="43" t="str">
        <x:v>Intergroup Contact Quality</x:v>
      </x:c>
      <x:c r="F64" s="43" t="str">
        <x:v>Causal candidate</x:v>
      </x:c>
      <x:c r="G64" s="43" t="str">
        <x:v>Negative</x:v>
      </x:c>
      <x:c r="H64" s="43" t="str">
        <x:v>Larger status disparities can undermine equal participation and make contact less constructive.</x:v>
      </x:c>
      <x:c r="I64" s="43" t="str">
        <x:v>Authority support, role design, dependence, legitimacy, cooperation, and local norms.</x:v>
      </x:c>
      <x:c r="J64" s="43" t="str">
        <x:v>Hours–Months</x:v>
      </x:c>
      <x:c r="K64" s="43" t="str">
        <x:v>Moderate</x:v>
      </x:c>
      <x:c r="L64" s="43" t="str">
        <x:v>Equal status within the contact situation can mitigate broader status inequality.</x:v>
      </x:c>
      <x:c r="M64" s="43" t="str">
        <x:v>SRC244; SRC245; SRC268; SRC273</x:v>
      </x:c>
    </x:row>
    <x:row r="65" ht="70" customHeight="1">
      <x:c r="A65" s="43" t="str">
        <x:v>REL-SOC-061</x:v>
      </x:c>
      <x:c r="B65" s="43" t="str">
        <x:v>SOC-097</x:v>
      </x:c>
      <x:c r="C65" s="43" t="str">
        <x:v>Cross-Cutting Membership Prevalence</x:v>
      </x:c>
      <x:c r="D65" s="43" t="str">
        <x:v>SOC-095</x:v>
      </x:c>
      <x:c r="E65" s="43" t="str">
        <x:v>Cross-Group Tie Density</x:v>
      </x:c>
      <x:c r="F65" s="43" t="str">
        <x:v>Causal candidate</x:v>
      </x:c>
      <x:c r="G65" s="43" t="str">
        <x:v>Positive</x:v>
      </x:c>
      <x:c r="H65" s="43" t="str">
        <x:v>Overlapping affiliations create additional opportunities and incentives for ties across a focal division.</x:v>
      </x:c>
      <x:c r="I65" s="43" t="str">
        <x:v>Boundary salience, network opportunity, competing identities, institutional barriers, and conflict.</x:v>
      </x:c>
      <x:c r="J65" s="43" t="str">
        <x:v>Weeks–Years</x:v>
      </x:c>
      <x:c r="K65" s="43" t="str">
        <x:v>Moderate</x:v>
      </x:c>
      <x:c r="L65" s="43" t="str">
        <x:v>Cross-cutting memberships may bridge groups but can also expose members to competing demands.</x:v>
      </x:c>
      <x:c r="M65" s="43" t="str">
        <x:v>SRC216; SRC233; SRC273</x:v>
      </x:c>
    </x:row>
  </x:sheetData>
  <x:mergeCells>
    <x:mergeCell ref="A1:M1"/>
    <x:mergeCell ref="A2:M2"/>
  </x:mergeCells>
  <x:dataValidations count="4">
    <x:dataValidation type="list" sqref="G5:G60">
      <x:formula1>"Positive,Negative,Inverted-U,U-shaped,Threshold,Saturating,Contingent,Unknown,Bidirectional"</x:formula1>
    </x:dataValidation>
    <x:dataValidation type="list" sqref="K5:K60">
      <x:formula1>"Strong,Moderate,Emerging,Mixed,Limited"</x:formula1>
    </x:dataValidation>
    <x:dataValidation type="list" sqref="G5:G65">
      <x:formula1>"Positive,Negative,Inverted-U,U-shaped,Threshold,Saturating,Contingent,Unknown,Bidirectional"</x:formula1>
    </x:dataValidation>
    <x:dataValidation type="list" sqref="K5:K65">
      <x:formula1>"Strong,Moderate,Emerging,Mixed,Limited"</x:formula1>
    </x:dataValidation>
  </x:dataValidations>
  <x:pageMargins left="0.7" right="0.7" top="0.75" bottom="0.75" header="0.3" footer="0.3"/>
  <x:tableParts count="1">
    <x:tablePart xmlns:r="http://schemas.openxmlformats.org/officeDocument/2006/relationships" r:id="R40bae8c87e7949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30" hidden="0" customWidth="1"/>
    <x:col min="4" max="4" width="50" hidden="0" customWidth="1"/>
    <x:col min="5" max="5" width="29" hidden="0" customWidth="1"/>
    <x:col min="6" max="6" width="36" hidden="0" customWidth="1"/>
    <x:col min="7" max="7" width="15" hidden="0" customWidth="1"/>
    <x:col min="8" max="8" width="50" hidden="0" customWidth="1"/>
    <x:col min="9" max="9" width="25" hidden="0" customWidth="1"/>
  </x:cols>
  <x:sheetData>
    <x:row r="1" ht="30" customHeight="1">
      <x:c r="A1" s="70" t="str">
        <x:v>PSYWERX Social Driver Ontology — Operationalizations</x:v>
      </x:c>
      <x:c r="B1" s="70"/>
      <x:c r="C1" s="70"/>
      <x:c r="D1" s="70"/>
      <x:c r="E1" s="70"/>
      <x:c r="F1" s="70"/>
      <x:c r="G1" s="70"/>
      <x:c r="H1" s="70"/>
      <x:c r="I1" s="70"/>
    </x:row>
    <x:row r="2" ht="46" customHeight="1">
      <x:c r="A2" s="73" t="str">
        <x:v>Alternative indicators, network measures, observations, surveys, traces, and representations linked to canonical drivers. An operationalization is evidence about a driver, not automatically the driver itself.</x:v>
      </x:c>
      <x:c r="B2" s="73"/>
      <x:c r="C2" s="73"/>
      <x:c r="D2" s="73"/>
      <x:c r="E2" s="73"/>
      <x:c r="F2" s="73"/>
      <x:c r="G2" s="73"/>
      <x:c r="H2" s="73"/>
      <x:c r="I2" s="73"/>
    </x:row>
    <x:row r="3" ht="8" customHeight="1">
      <x:c r="A3" s="43"/>
      <x:c r="B3" s="43"/>
      <x:c r="C3" s="43"/>
      <x:c r="D3" s="43"/>
      <x:c r="E3" s="43"/>
      <x:c r="F3" s="43"/>
      <x:c r="G3" s="43"/>
      <x:c r="H3" s="43"/>
      <x:c r="I3" s="43"/>
    </x:row>
    <x:row r="4" ht="48" customHeight="1">
      <x:c r="A4" s="76" t="str">
        <x:v>Operationalization ID</x:v>
      </x:c>
      <x:c r="B4" s="76" t="str">
        <x:v>Driver ID</x:v>
      </x:c>
      <x:c r="C4" s="76" t="str">
        <x:v>Driver Name</x:v>
      </x:c>
      <x:c r="D4" s="76" t="str">
        <x:v>Indicator / Measure</x:v>
      </x:c>
      <x:c r="E4" s="76" t="str">
        <x:v>Method Type</x:v>
      </x:c>
      <x:c r="F4" s="76" t="str">
        <x:v>Representation / Scale</x:v>
      </x:c>
      <x:c r="G4" s="76" t="str">
        <x:v>Observability</x:v>
      </x:c>
      <x:c r="H4" s="76" t="str">
        <x:v>Measurement Caveats</x:v>
      </x:c>
      <x:c r="I4" s="76" t="str">
        <x:v>Evidence IDs</x:v>
      </x:c>
    </x:row>
    <x:row r="5" ht="62" customHeight="1">
      <x:c r="A5" s="43" t="str">
        <x:v>OP-SOC-0001</x:v>
      </x:c>
      <x:c r="B5" s="43" t="str">
        <x:v>SOC-001</x:v>
      </x:c>
      <x:c r="C5" s="43" t="str">
        <x:v>Behavioral Prevalence</x:v>
      </x:c>
      <x:c r="D5" s="43" t="str">
        <x:v>Construct-specific social assessment: Observed behavior rate</x:v>
      </x:c>
      <x:c r="E5" s="43" t="str">
        <x:v>Self-report / assessment</x:v>
      </x:c>
      <x:c r="F5" s="43" t="str">
        <x:v>0–1 or 0–100% of eligible reference-group members</x:v>
      </x:c>
      <x:c r="G5" s="43" t="str">
        <x:v>Moderate</x:v>
      </x:c>
      <x:c r="H5" s="43" t="str">
        <x:v>A measured group condition depends on the specified reference group, behavior, setting, and time window; individual perception may differ substantially. Use an explicit social referent, unit of analysis, behavior, setting, and time window.</x:v>
      </x:c>
      <x:c r="I5" s="43" t="str">
        <x:v>SRC208; SRC209; SRC210</x:v>
      </x:c>
    </x:row>
    <x:row r="6" ht="62" customHeight="1">
      <x:c r="A6" s="43" t="str">
        <x:v>OP-SOC-0002</x:v>
      </x:c>
      <x:c r="B6" s="43" t="str">
        <x:v>SOC-001</x:v>
      </x:c>
      <x:c r="C6" s="43" t="str">
        <x:v>Behavioral Prevalence</x:v>
      </x:c>
      <x:c r="D6" s="43" t="str">
        <x:v>Observed relational or group indicator: administrative prevalence</x:v>
      </x:c>
      <x:c r="E6" s="43" t="str">
        <x:v>Behavioral / clinical assessment</x:v>
      </x:c>
      <x:c r="F6" s="43" t="str">
        <x:v>0–1 or 0–100% of eligible reference-group members</x:v>
      </x:c>
      <x:c r="G6" s="43" t="str">
        <x:v>Moderate</x:v>
      </x:c>
      <x:c r="H6" s="43" t="str">
        <x:v>A measured group condition depends on the specified reference group, behavior, setting, and time window; individual perception may differ substantially. Observation is an indicator and should be triangulated across actors or episodes where feasible.</x:v>
      </x:c>
      <x:c r="I6" s="43" t="str">
        <x:v>SRC208; SRC209; SRC210</x:v>
      </x:c>
    </x:row>
    <x:row r="7" ht="62" customHeight="1">
      <x:c r="A7" s="43" t="str">
        <x:v>OP-SOC-0003</x:v>
      </x:c>
      <x:c r="B7" s="43" t="str">
        <x:v>SOC-001</x:v>
      </x:c>
      <x:c r="C7" s="43" t="str">
        <x:v>Behavioral Prevalence</x:v>
      </x:c>
      <x:c r="D7" s="43" t="str">
        <x:v>Administrative, roster, or interaction record: representative self-reported behavior</x:v>
      </x:c>
      <x:c r="E7" s="43" t="str">
        <x:v>Administrative / archival</x:v>
      </x:c>
      <x:c r="F7" s="43" t="str">
        <x:v>0–1 or 0–100% of eligible reference-group members</x:v>
      </x:c>
      <x:c r="G7" s="43" t="str">
        <x:v>Moderate</x:v>
      </x:c>
      <x:c r="H7" s="43" t="str">
        <x:v>A measured group condition depends on the specified reference group, behavior, setting, and time window; individual perception may differ substantially. Coverage, opportunity, missingness, and selection into the recorded setting must be documented.</x:v>
      </x:c>
      <x:c r="I7" s="43" t="str">
        <x:v>SRC208; SRC209; SRC210</x:v>
      </x:c>
    </x:row>
    <x:row r="8" ht="62" customHeight="1">
      <x:c r="A8" s="43" t="str">
        <x:v>OP-SOC-0004</x:v>
      </x:c>
      <x:c r="B8" s="43" t="str">
        <x:v>SOC-002</x:v>
      </x:c>
      <x:c r="C8" s="43" t="str">
        <x:v>Expressed Approval Prevalence</x:v>
      </x:c>
      <x:c r="D8" s="43" t="str">
        <x:v>Construct-specific social assessment: Approval statements</x:v>
      </x:c>
      <x:c r="E8" s="43" t="str">
        <x:v>Self-report / assessment</x:v>
      </x:c>
      <x:c r="F8" s="43" t="str">
        <x:v>0–1 or 0–100% expressing approval; approved–neutral–disapproved distribution</x:v>
      </x:c>
      <x:c r="G8" s="43" t="str">
        <x:v>Moderate</x:v>
      </x:c>
      <x:c r="H8" s="43" t="str">
        <x:v>A measured group condition depends on the specified reference group, behavior, setting, and time window; individual perception may differ substantially. Use an explicit social referent, unit of analysis, behavior, setting, and time window.</x:v>
      </x:c>
      <x:c r="I8" s="43" t="str">
        <x:v>SRC208; SRC209; SRC251</x:v>
      </x:c>
    </x:row>
    <x:row r="9" ht="62" customHeight="1">
      <x:c r="A9" s="43" t="str">
        <x:v>OP-SOC-0005</x:v>
      </x:c>
      <x:c r="B9" s="43" t="str">
        <x:v>SOC-002</x:v>
      </x:c>
      <x:c r="C9" s="43" t="str">
        <x:v>Expressed Approval Prevalence</x:v>
      </x:c>
      <x:c r="D9" s="43" t="str">
        <x:v>Observed relational or group indicator: public votes</x:v>
      </x:c>
      <x:c r="E9" s="43" t="str">
        <x:v>Behavioral / clinical assessment</x:v>
      </x:c>
      <x:c r="F9" s="43" t="str">
        <x:v>0–1 or 0–100% expressing approval; approved–neutral–disapproved distribution</x:v>
      </x:c>
      <x:c r="G9" s="43" t="str">
        <x:v>Moderate</x:v>
      </x:c>
      <x:c r="H9" s="43" t="str">
        <x:v>A measured group condition depends on the specified reference group, behavior, setting, and time window; individual perception may differ substantially. Observation is an indicator and should be triangulated across actors or episodes where feasible.</x:v>
      </x:c>
      <x:c r="I9" s="43" t="str">
        <x:v>SRC208; SRC209; SRC251</x:v>
      </x:c>
    </x:row>
    <x:row r="10" ht="62" customHeight="1">
      <x:c r="A10" s="43" t="str">
        <x:v>OP-SOC-0006</x:v>
      </x:c>
      <x:c r="B10" s="43" t="str">
        <x:v>SOC-002</x:v>
      </x:c>
      <x:c r="C10" s="43" t="str">
        <x:v>Expressed Approval Prevalence</x:v>
      </x:c>
      <x:c r="D10" s="43" t="str">
        <x:v>Administrative, roster, or interaction record: coded endorsements</x:v>
      </x:c>
      <x:c r="E10" s="43" t="str">
        <x:v>Administrative / archival</x:v>
      </x:c>
      <x:c r="F10" s="43" t="str">
        <x:v>0–1 or 0–100% expressing approval; approved–neutral–disapproved distribution</x:v>
      </x:c>
      <x:c r="G10" s="43" t="str">
        <x:v>Moderate</x:v>
      </x:c>
      <x:c r="H10" s="43" t="str">
        <x:v>A measured group condition depends on the specified reference group, behavior, setting, and time window; individual perception may differ substantially. Coverage, opportunity, missingness, and selection into the recorded setting must be documented.</x:v>
      </x:c>
      <x:c r="I10" s="43" t="str">
        <x:v>SRC208; SRC209; SRC251</x:v>
      </x:c>
    </x:row>
    <x:row r="11" ht="62" customHeight="1">
      <x:c r="A11" s="43" t="str">
        <x:v>OP-SOC-0007</x:v>
      </x:c>
      <x:c r="B11" s="43" t="str">
        <x:v>SOC-003</x:v>
      </x:c>
      <x:c r="C11" s="43" t="str">
        <x:v>Norm Consensus</x:v>
      </x:c>
      <x:c r="D11" s="43" t="str">
        <x:v>Construct-specific social assessment: Response dispersion</x:v>
      </x:c>
      <x:c r="E11" s="43" t="str">
        <x:v>Self-report / assessment</x:v>
      </x:c>
      <x:c r="F11" s="43" t="str">
        <x:v>Agreement index; inverse dispersion; entropy-based concentration; low–high consensus</x:v>
      </x:c>
      <x:c r="G11" s="43" t="str">
        <x:v>Moderate</x:v>
      </x:c>
      <x:c r="H11" s="43" t="str">
        <x:v>A measured group condition depends on the specified reference group, behavior, setting, and time window; individual perception may differ substantially. Use an explicit social referent, unit of analysis, behavior, setting, and time window.</x:v>
      </x:c>
      <x:c r="I11" s="43" t="str">
        <x:v>SRC208; SRC213; SRC251</x:v>
      </x:c>
    </x:row>
    <x:row r="12" ht="62" customHeight="1">
      <x:c r="A12" s="43" t="str">
        <x:v>OP-SOC-0008</x:v>
      </x:c>
      <x:c r="B12" s="43" t="str">
        <x:v>SOC-003</x:v>
      </x:c>
      <x:c r="C12" s="43" t="str">
        <x:v>Norm Consensus</x:v>
      </x:c>
      <x:c r="D12" s="43" t="str">
        <x:v>Observed relational or group indicator: agreement ratio</x:v>
      </x:c>
      <x:c r="E12" s="43" t="str">
        <x:v>Behavioral / clinical assessment</x:v>
      </x:c>
      <x:c r="F12" s="43" t="str">
        <x:v>Agreement index; inverse dispersion; entropy-based concentration; low–high consensus</x:v>
      </x:c>
      <x:c r="G12" s="43" t="str">
        <x:v>Moderate</x:v>
      </x:c>
      <x:c r="H12" s="43" t="str">
        <x:v>A measured group condition depends on the specified reference group, behavior, setting, and time window; individual perception may differ substantially. Observation is an indicator and should be triangulated across actors or episodes where feasible.</x:v>
      </x:c>
      <x:c r="I12" s="43" t="str">
        <x:v>SRC208; SRC213; SRC251</x:v>
      </x:c>
    </x:row>
    <x:row r="13" ht="62" customHeight="1">
      <x:c r="A13" s="43" t="str">
        <x:v>OP-SOC-0009</x:v>
      </x:c>
      <x:c r="B13" s="43" t="str">
        <x:v>SOC-003</x:v>
      </x:c>
      <x:c r="C13" s="43" t="str">
        <x:v>Norm Consensus</x:v>
      </x:c>
      <x:c r="D13" s="43" t="str">
        <x:v>Administrative, roster, or interaction record: entropy</x:v>
      </x:c>
      <x:c r="E13" s="43" t="str">
        <x:v>Administrative / archival</x:v>
      </x:c>
      <x:c r="F13" s="43" t="str">
        <x:v>Agreement index; inverse dispersion; entropy-based concentration; low–high consensus</x:v>
      </x:c>
      <x:c r="G13" s="43" t="str">
        <x:v>Moderate</x:v>
      </x:c>
      <x:c r="H13" s="43" t="str">
        <x:v>A measured group condition depends on the specified reference group, behavior, setting, and time window; individual perception may differ substantially. Coverage, opportunity, missingness, and selection into the recorded setting must be documented.</x:v>
      </x:c>
      <x:c r="I13" s="43" t="str">
        <x:v>SRC208; SRC213; SRC251</x:v>
      </x:c>
    </x:row>
    <x:row r="14" ht="62" customHeight="1">
      <x:c r="A14" s="43" t="str">
        <x:v>OP-SOC-0010</x:v>
      </x:c>
      <x:c r="B14" s="43" t="str">
        <x:v>SOC-004</x:v>
      </x:c>
      <x:c r="C14" s="43" t="str">
        <x:v>Norm Change Rate</x:v>
      </x:c>
      <x:c r="D14" s="43" t="str">
        <x:v>Construct-specific social assessment: Repeated prevalence estimates</x:v>
      </x:c>
      <x:c r="E14" s="43" t="str">
        <x:v>Self-report / assessment</x:v>
      </x:c>
      <x:c r="F14" s="43" t="str">
        <x:v>Percentage-point change per period; slope; declining–stable–increasing</x:v>
      </x:c>
      <x:c r="G14" s="43" t="str">
        <x:v>Moderate</x:v>
      </x:c>
      <x:c r="H14" s="43" t="str">
        <x:v>A measured group condition depends on the specified reference group, behavior, setting, and time window; individual perception may differ substantially. Use an explicit social referent, unit of analysis, behavior, setting, and time window.</x:v>
      </x:c>
      <x:c r="I14" s="43" t="str">
        <x:v>SRC211; SRC251</x:v>
      </x:c>
    </x:row>
    <x:row r="15" ht="62" customHeight="1">
      <x:c r="A15" s="43" t="str">
        <x:v>OP-SOC-0011</x:v>
      </x:c>
      <x:c r="B15" s="43" t="str">
        <x:v>SOC-004</x:v>
      </x:c>
      <x:c r="C15" s="43" t="str">
        <x:v>Norm Change Rate</x:v>
      </x:c>
      <x:c r="D15" s="43" t="str">
        <x:v>Observed relational or group indicator: longitudinal approval trend</x:v>
      </x:c>
      <x:c r="E15" s="43" t="str">
        <x:v>Behavioral / clinical assessment</x:v>
      </x:c>
      <x:c r="F15" s="43" t="str">
        <x:v>Percentage-point change per period; slope; declining–stable–increasing</x:v>
      </x:c>
      <x:c r="G15" s="43" t="str">
        <x:v>Moderate</x:v>
      </x:c>
      <x:c r="H15" s="43" t="str">
        <x:v>A measured group condition depends on the specified reference group, behavior, setting, and time window; individual perception may differ substantially. Observation is an indicator and should be triangulated across actors or episodes where feasible.</x:v>
      </x:c>
      <x:c r="I15" s="43" t="str">
        <x:v>SRC211; SRC251</x:v>
      </x:c>
    </x:row>
    <x:row r="16" ht="62" customHeight="1">
      <x:c r="A16" s="43" t="str">
        <x:v>OP-SOC-0012</x:v>
      </x:c>
      <x:c r="B16" s="43" t="str">
        <x:v>SOC-004</x:v>
      </x:c>
      <x:c r="C16" s="43" t="str">
        <x:v>Norm Change Rate</x:v>
      </x:c>
      <x:c r="D16" s="43" t="str">
        <x:v>Administrative, roster, or interaction record: adoption time series</x:v>
      </x:c>
      <x:c r="E16" s="43" t="str">
        <x:v>Administrative / archival</x:v>
      </x:c>
      <x:c r="F16" s="43" t="str">
        <x:v>Percentage-point change per period; slope; declining–stable–increasing</x:v>
      </x:c>
      <x:c r="G16" s="43" t="str">
        <x:v>Moderate</x:v>
      </x:c>
      <x:c r="H16" s="43" t="str">
        <x:v>A measured group condition depends on the specified reference group, behavior, setting, and time window; individual perception may differ substantially. Coverage, opportunity, missingness, and selection into the recorded setting must be documented.</x:v>
      </x:c>
      <x:c r="I16" s="43" t="str">
        <x:v>SRC211; SRC251</x:v>
      </x:c>
    </x:row>
    <x:row r="17" ht="62" customHeight="1">
      <x:c r="A17" s="43" t="str">
        <x:v>OP-SOC-0013</x:v>
      </x:c>
      <x:c r="B17" s="43" t="str">
        <x:v>SOC-005</x:v>
      </x:c>
      <x:c r="C17" s="43" t="str">
        <x:v>Norm Visibility</x:v>
      </x:c>
      <x:c r="D17" s="43" t="str">
        <x:v>Construct-specific social assessment: Public versus private acts</x:v>
      </x:c>
      <x:c r="E17" s="43" t="str">
        <x:v>Self-report / assessment</x:v>
      </x:c>
      <x:c r="F17" s="43" t="str">
        <x:v>Share of relevant acts or reactions visible; low–high visibility</x:v>
      </x:c>
      <x:c r="G17" s="43" t="str">
        <x:v>Moderate</x:v>
      </x:c>
      <x:c r="H17" s="43" t="str">
        <x:v>A measured group condition depends on the specified reference group, behavior, setting, and time window; individual perception may differ substantially. Use an explicit social referent, unit of analysis, behavior, setting, and time window.</x:v>
      </x:c>
      <x:c r="I17" s="43" t="str">
        <x:v>SRC208; SRC210; SRC251</x:v>
      </x:c>
    </x:row>
    <x:row r="18" ht="62" customHeight="1">
      <x:c r="A18" s="43" t="str">
        <x:v>OP-SOC-0014</x:v>
      </x:c>
      <x:c r="B18" s="43" t="str">
        <x:v>SOC-005</x:v>
      </x:c>
      <x:c r="C18" s="43" t="str">
        <x:v>Norm Visibility</x:v>
      </x:c>
      <x:c r="D18" s="43" t="str">
        <x:v>Observed relational or group indicator: visible endorsement count</x:v>
      </x:c>
      <x:c r="E18" s="43" t="str">
        <x:v>Behavioral / clinical assessment</x:v>
      </x:c>
      <x:c r="F18" s="43" t="str">
        <x:v>Share of relevant acts or reactions visible; low–high visibility</x:v>
      </x:c>
      <x:c r="G18" s="43" t="str">
        <x:v>Moderate</x:v>
      </x:c>
      <x:c r="H18" s="43" t="str">
        <x:v>A measured group condition depends on the specified reference group, behavior, setting, and time window; individual perception may differ substantially. Observation is an indicator and should be triangulated across actors or episodes where feasible.</x:v>
      </x:c>
      <x:c r="I18" s="43" t="str">
        <x:v>SRC208; SRC210; SRC251</x:v>
      </x:c>
    </x:row>
    <x:row r="19" ht="62" customHeight="1">
      <x:c r="A19" s="43" t="str">
        <x:v>OP-SOC-0015</x:v>
      </x:c>
      <x:c r="B19" s="43" t="str">
        <x:v>SOC-005</x:v>
      </x:c>
      <x:c r="C19" s="43" t="str">
        <x:v>Norm Visibility</x:v>
      </x:c>
      <x:c r="D19" s="43" t="str">
        <x:v>Administrative, roster, or interaction record: observation opportunity</x:v>
      </x:c>
      <x:c r="E19" s="43" t="str">
        <x:v>Administrative / archival</x:v>
      </x:c>
      <x:c r="F19" s="43" t="str">
        <x:v>Share of relevant acts or reactions visible; low–high visibility</x:v>
      </x:c>
      <x:c r="G19" s="43" t="str">
        <x:v>Moderate</x:v>
      </x:c>
      <x:c r="H19" s="43" t="str">
        <x:v>A measured group condition depends on the specified reference group, behavior, setting, and time window; individual perception may differ substantially. Coverage, opportunity, missingness, and selection into the recorded setting must be documented.</x:v>
      </x:c>
      <x:c r="I19" s="43" t="str">
        <x:v>SRC208; SRC210; SRC251</x:v>
      </x:c>
    </x:row>
    <x:row r="20" ht="62" customHeight="1">
      <x:c r="A20" s="43" t="str">
        <x:v>OP-SOC-0016</x:v>
      </x:c>
      <x:c r="B20" s="43" t="str">
        <x:v>SOC-006</x:v>
      </x:c>
      <x:c r="C20" s="43" t="str">
        <x:v>Informal Sanction Probability</x:v>
      </x:c>
      <x:c r="D20" s="43" t="str">
        <x:v>Construct-specific social assessment: Sanctions per violation</x:v>
      </x:c>
      <x:c r="E20" s="43" t="str">
        <x:v>Self-report / assessment</x:v>
      </x:c>
      <x:c r="F20" s="43" t="str">
        <x:v>0–1 conditional probability; sanctions per observed violation</x:v>
      </x:c>
      <x:c r="G20" s="43" t="str">
        <x:v>Moderate</x:v>
      </x:c>
      <x:c r="H20" s="43" t="str">
        <x:v>A measured group condition depends on the specified reference group, behavior, setting, and time window; individual perception may differ substantially. Use an explicit social referent, unit of analysis, behavior, setting, and time window.</x:v>
      </x:c>
      <x:c r="I20" s="43" t="str">
        <x:v>SRC225; SRC226; SRC251</x:v>
      </x:c>
    </x:row>
    <x:row r="21" ht="62" customHeight="1">
      <x:c r="A21" s="43" t="str">
        <x:v>OP-SOC-0017</x:v>
      </x:c>
      <x:c r="B21" s="43" t="str">
        <x:v>SOC-006</x:v>
      </x:c>
      <x:c r="C21" s="43" t="str">
        <x:v>Informal Sanction Probability</x:v>
      </x:c>
      <x:c r="D21" s="43" t="str">
        <x:v>Observed relational or group indicator: peer rebuke rate</x:v>
      </x:c>
      <x:c r="E21" s="43" t="str">
        <x:v>Behavioral / clinical assessment</x:v>
      </x:c>
      <x:c r="F21" s="43" t="str">
        <x:v>0–1 conditional probability; sanctions per observed violation</x:v>
      </x:c>
      <x:c r="G21" s="43" t="str">
        <x:v>Moderate</x:v>
      </x:c>
      <x:c r="H21" s="43" t="str">
        <x:v>A measured group condition depends on the specified reference group, behavior, setting, and time window; individual perception may differ substantially. Observation is an indicator and should be triangulated across actors or episodes where feasible.</x:v>
      </x:c>
      <x:c r="I21" s="43" t="str">
        <x:v>SRC225; SRC226; SRC251</x:v>
      </x:c>
    </x:row>
    <x:row r="22" ht="62" customHeight="1">
      <x:c r="A22" s="43" t="str">
        <x:v>OP-SOC-0018</x:v>
      </x:c>
      <x:c r="B22" s="43" t="str">
        <x:v>SOC-006</x:v>
      </x:c>
      <x:c r="C22" s="43" t="str">
        <x:v>Informal Sanction Probability</x:v>
      </x:c>
      <x:c r="D22" s="43" t="str">
        <x:v>Administrative, roster, or interaction record: exclusion or disapproval response</x:v>
      </x:c>
      <x:c r="E22" s="43" t="str">
        <x:v>Administrative / archival</x:v>
      </x:c>
      <x:c r="F22" s="43" t="str">
        <x:v>0–1 conditional probability; sanctions per observed violation</x:v>
      </x:c>
      <x:c r="G22" s="43" t="str">
        <x:v>Moderate</x:v>
      </x:c>
      <x:c r="H22" s="43" t="str">
        <x:v>A measured group condition depends on the specified reference group, behavior, setting, and time window; individual perception may differ substantially. Coverage, opportunity, missingness, and selection into the recorded setting must be documented.</x:v>
      </x:c>
      <x:c r="I22" s="43" t="str">
        <x:v>SRC225; SRC226; SRC251</x:v>
      </x:c>
    </x:row>
    <x:row r="23" ht="62" customHeight="1">
      <x:c r="A23" s="43" t="str">
        <x:v>OP-SOC-0019</x:v>
      </x:c>
      <x:c r="B23" s="43" t="str">
        <x:v>SOC-007</x:v>
      </x:c>
      <x:c r="C23" s="43" t="str">
        <x:v>Informal Sanction Severity</x:v>
      </x:c>
      <x:c r="D23" s="43" t="str">
        <x:v>Construct-specific social assessment: Resource loss</x:v>
      </x:c>
      <x:c r="E23" s="43" t="str">
        <x:v>Self-report / assessment</x:v>
      </x:c>
      <x:c r="F23" s="43" t="str">
        <x:v>Cost, duration, intensity, or anchored severity of sanction</x:v>
      </x:c>
      <x:c r="G23" s="43" t="str">
        <x:v>Moderate</x:v>
      </x:c>
      <x:c r="H23" s="43" t="str">
        <x:v>A measured group condition depends on the specified reference group, behavior, setting, and time window; individual perception may differ substantially. Use an explicit social referent, unit of analysis, behavior, setting, and time window.</x:v>
      </x:c>
      <x:c r="I23" s="43" t="str">
        <x:v>SRC225; SRC226; SRC251</x:v>
      </x:c>
    </x:row>
    <x:row r="24" ht="62" customHeight="1">
      <x:c r="A24" s="43" t="str">
        <x:v>OP-SOC-0020</x:v>
      </x:c>
      <x:c r="B24" s="43" t="str">
        <x:v>SOC-007</x:v>
      </x:c>
      <x:c r="C24" s="43" t="str">
        <x:v>Informal Sanction Severity</x:v>
      </x:c>
      <x:c r="D24" s="43" t="str">
        <x:v>Observed relational or group indicator: exclusion duration</x:v>
      </x:c>
      <x:c r="E24" s="43" t="str">
        <x:v>Behavioral / clinical assessment</x:v>
      </x:c>
      <x:c r="F24" s="43" t="str">
        <x:v>Cost, duration, intensity, or anchored severity of sanction</x:v>
      </x:c>
      <x:c r="G24" s="43" t="str">
        <x:v>Moderate</x:v>
      </x:c>
      <x:c r="H24" s="43" t="str">
        <x:v>A measured group condition depends on the specified reference group, behavior, setting, and time window; individual perception may differ substantially. Observation is an indicator and should be triangulated across actors or episodes where feasible.</x:v>
      </x:c>
      <x:c r="I24" s="43" t="str">
        <x:v>SRC225; SRC226; SRC251</x:v>
      </x:c>
    </x:row>
    <x:row r="25" ht="62" customHeight="1">
      <x:c r="A25" s="43" t="str">
        <x:v>OP-SOC-0021</x:v>
      </x:c>
      <x:c r="B25" s="43" t="str">
        <x:v>SOC-007</x:v>
      </x:c>
      <x:c r="C25" s="43" t="str">
        <x:v>Informal Sanction Severity</x:v>
      </x:c>
      <x:c r="D25" s="43" t="str">
        <x:v>Administrative, roster, or interaction record: rebuke intensity</x:v>
      </x:c>
      <x:c r="E25" s="43" t="str">
        <x:v>Administrative / archival</x:v>
      </x:c>
      <x:c r="F25" s="43" t="str">
        <x:v>Cost, duration, intensity, or anchored severity of sanction</x:v>
      </x:c>
      <x:c r="G25" s="43" t="str">
        <x:v>Moderate</x:v>
      </x:c>
      <x:c r="H25" s="43" t="str">
        <x:v>A measured group condition depends on the specified reference group, behavior, setting, and time window; individual perception may differ substantially. Coverage, opportunity, missingness, and selection into the recorded setting must be documented.</x:v>
      </x:c>
      <x:c r="I25" s="43" t="str">
        <x:v>SRC225; SRC226; SRC251</x:v>
      </x:c>
    </x:row>
    <x:row r="26" ht="62" customHeight="1">
      <x:c r="A26" s="43" t="str">
        <x:v>OP-SOC-0022</x:v>
      </x:c>
      <x:c r="B26" s="43" t="str">
        <x:v>SOC-008</x:v>
      </x:c>
      <x:c r="C26" s="43" t="str">
        <x:v>Informal Reward Probability</x:v>
      </x:c>
      <x:c r="D26" s="43" t="str">
        <x:v>Construct-specific social assessment: Praise or endorsement rate</x:v>
      </x:c>
      <x:c r="E26" s="43" t="str">
        <x:v>Self-report / assessment</x:v>
      </x:c>
      <x:c r="F26" s="43" t="str">
        <x:v>0–1 conditional probability; rewards per conforming act</x:v>
      </x:c>
      <x:c r="G26" s="43" t="str">
        <x:v>Moderate</x:v>
      </x:c>
      <x:c r="H26" s="43" t="str">
        <x:v>A measured group condition depends on the specified reference group, behavior, setting, and time window; individual perception may differ substantially. Use an explicit social referent, unit of analysis, behavior, setting, and time window.</x:v>
      </x:c>
      <x:c r="I26" s="43" t="str">
        <x:v>SRC224; SRC225; SRC251</x:v>
      </x:c>
    </x:row>
    <x:row r="27" ht="62" customHeight="1">
      <x:c r="A27" s="43" t="str">
        <x:v>OP-SOC-0023</x:v>
      </x:c>
      <x:c r="B27" s="43" t="str">
        <x:v>SOC-008</x:v>
      </x:c>
      <x:c r="C27" s="43" t="str">
        <x:v>Informal Reward Probability</x:v>
      </x:c>
      <x:c r="D27" s="43" t="str">
        <x:v>Observed relational or group indicator: inclusion response</x:v>
      </x:c>
      <x:c r="E27" s="43" t="str">
        <x:v>Behavioral / clinical assessment</x:v>
      </x:c>
      <x:c r="F27" s="43" t="str">
        <x:v>0–1 conditional probability; rewards per conforming act</x:v>
      </x:c>
      <x:c r="G27" s="43" t="str">
        <x:v>Moderate</x:v>
      </x:c>
      <x:c r="H27" s="43" t="str">
        <x:v>A measured group condition depends on the specified reference group, behavior, setting, and time window; individual perception may differ substantially. Observation is an indicator and should be triangulated across actors or episodes where feasible.</x:v>
      </x:c>
      <x:c r="I27" s="43" t="str">
        <x:v>SRC224; SRC225; SRC251</x:v>
      </x:c>
    </x:row>
    <x:row r="28" ht="62" customHeight="1">
      <x:c r="A28" s="43" t="str">
        <x:v>OP-SOC-0024</x:v>
      </x:c>
      <x:c r="B28" s="43" t="str">
        <x:v>SOC-008</x:v>
      </x:c>
      <x:c r="C28" s="43" t="str">
        <x:v>Informal Reward Probability</x:v>
      </x:c>
      <x:c r="D28" s="43" t="str">
        <x:v>Administrative, roster, or interaction record: reputational gain event</x:v>
      </x:c>
      <x:c r="E28" s="43" t="str">
        <x:v>Administrative / archival</x:v>
      </x:c>
      <x:c r="F28" s="43" t="str">
        <x:v>0–1 conditional probability; rewards per conforming act</x:v>
      </x:c>
      <x:c r="G28" s="43" t="str">
        <x:v>Moderate</x:v>
      </x:c>
      <x:c r="H28" s="43" t="str">
        <x:v>A measured group condition depends on the specified reference group, behavior, setting, and time window; individual perception may differ substantially. Coverage, opportunity, missingness, and selection into the recorded setting must be documented.</x:v>
      </x:c>
      <x:c r="I28" s="43" t="str">
        <x:v>SRC224; SRC225; SRC251</x:v>
      </x:c>
    </x:row>
    <x:row r="29" ht="62" customHeight="1">
      <x:c r="A29" s="43" t="str">
        <x:v>OP-SOC-0025</x:v>
      </x:c>
      <x:c r="B29" s="43" t="str">
        <x:v>SOC-009</x:v>
      </x:c>
      <x:c r="C29" s="43" t="str">
        <x:v>Majority Signal Size</x:v>
      </x:c>
      <x:c r="D29" s="43" t="str">
        <x:v>Construct-specific social assessment: Supporting-person count</x:v>
      </x:c>
      <x:c r="E29" s="43" t="str">
        <x:v>Self-report / assessment</x:v>
      </x:c>
      <x:c r="F29" s="43" t="str">
        <x:v>Count or proportion of visible others displaying the target response</x:v>
      </x:c>
      <x:c r="G29" s="43" t="str">
        <x:v>High</x:v>
      </x:c>
      <x:c r="H29" s="43" t="str">
        <x:v>Presence and signal properties do not prove influence; selection, shared context, and preexisting similarity must be addressed. Use an explicit social referent, unit of analysis, behavior, setting, and time window.</x:v>
      </x:c>
      <x:c r="I29" s="43" t="str">
        <x:v>SRC213; SRC252</x:v>
      </x:c>
    </x:row>
    <x:row r="30" ht="62" customHeight="1">
      <x:c r="A30" s="43" t="str">
        <x:v>OP-SOC-0026</x:v>
      </x:c>
      <x:c r="B30" s="43" t="str">
        <x:v>SOC-009</x:v>
      </x:c>
      <x:c r="C30" s="43" t="str">
        <x:v>Majority Signal Size</x:v>
      </x:c>
      <x:c r="D30" s="43" t="str">
        <x:v>Observed relational or group indicator: majority proportion</x:v>
      </x:c>
      <x:c r="E30" s="43" t="str">
        <x:v>Behavioral / clinical assessment</x:v>
      </x:c>
      <x:c r="F30" s="43" t="str">
        <x:v>Count or proportion of visible others displaying the target response</x:v>
      </x:c>
      <x:c r="G30" s="43" t="str">
        <x:v>High</x:v>
      </x:c>
      <x:c r="H30" s="43" t="str">
        <x:v>Presence and signal properties do not prove influence; selection, shared context, and preexisting similarity must be addressed. Observation is an indicator and should be triangulated across actors or episodes where feasible.</x:v>
      </x:c>
      <x:c r="I30" s="43" t="str">
        <x:v>SRC213; SRC252</x:v>
      </x:c>
    </x:row>
    <x:row r="31" ht="62" customHeight="1">
      <x:c r="A31" s="43" t="str">
        <x:v>OP-SOC-0027</x:v>
      </x:c>
      <x:c r="B31" s="43" t="str">
        <x:v>SOC-009</x:v>
      </x:c>
      <x:c r="C31" s="43" t="str">
        <x:v>Majority Signal Size</x:v>
      </x:c>
      <x:c r="D31" s="43" t="str">
        <x:v>Administrative, roster, or interaction record: visible endorsement tally</x:v>
      </x:c>
      <x:c r="E31" s="43" t="str">
        <x:v>Administrative / archival</x:v>
      </x:c>
      <x:c r="F31" s="43" t="str">
        <x:v>Count or proportion of visible others displaying the target response</x:v>
      </x:c>
      <x:c r="G31" s="43" t="str">
        <x:v>High</x:v>
      </x:c>
      <x:c r="H31" s="43" t="str">
        <x:v>Presence and signal properties do not prove influence; selection, shared context, and preexisting similarity must be addressed. Coverage, opportunity, missingness, and selection into the recorded setting must be documented.</x:v>
      </x:c>
      <x:c r="I31" s="43" t="str">
        <x:v>SRC213; SRC252</x:v>
      </x:c>
    </x:row>
    <x:row r="32" ht="62" customHeight="1">
      <x:c r="A32" s="43" t="str">
        <x:v>OP-SOC-0028</x:v>
      </x:c>
      <x:c r="B32" s="43" t="str">
        <x:v>SOC-010</x:v>
      </x:c>
      <x:c r="C32" s="43" t="str">
        <x:v>Majority Unanimity</x:v>
      </x:c>
      <x:c r="D32" s="43" t="str">
        <x:v>Construct-specific social assessment: Dissenter count</x:v>
      </x:c>
      <x:c r="E32" s="43" t="str">
        <x:v>Self-report / assessment</x:v>
      </x:c>
      <x:c r="F32" s="43" t="str">
        <x:v>0–1 agreement proportion; unanimous versus nonunanimous</x:v>
      </x:c>
      <x:c r="G32" s="43" t="str">
        <x:v>High</x:v>
      </x:c>
      <x:c r="H32" s="43" t="str">
        <x:v>Presence and signal properties do not prove influence; selection, shared context, and preexisting similarity must be addressed. Use an explicit social referent, unit of analysis, behavior, setting, and time window.</x:v>
      </x:c>
      <x:c r="I32" s="43" t="str">
        <x:v>SRC213; SRC252</x:v>
      </x:c>
    </x:row>
    <x:row r="33" ht="62" customHeight="1">
      <x:c r="A33" s="43" t="str">
        <x:v>OP-SOC-0029</x:v>
      </x:c>
      <x:c r="B33" s="43" t="str">
        <x:v>SOC-010</x:v>
      </x:c>
      <x:c r="C33" s="43" t="str">
        <x:v>Majority Unanimity</x:v>
      </x:c>
      <x:c r="D33" s="43" t="str">
        <x:v>Observed relational or group indicator: response dispersion</x:v>
      </x:c>
      <x:c r="E33" s="43" t="str">
        <x:v>Behavioral / clinical assessment</x:v>
      </x:c>
      <x:c r="F33" s="43" t="str">
        <x:v>0–1 agreement proportion; unanimous versus nonunanimous</x:v>
      </x:c>
      <x:c r="G33" s="43" t="str">
        <x:v>High</x:v>
      </x:c>
      <x:c r="H33" s="43" t="str">
        <x:v>Presence and signal properties do not prove influence; selection, shared context, and preexisting similarity must be addressed. Observation is an indicator and should be triangulated across actors or episodes where feasible.</x:v>
      </x:c>
      <x:c r="I33" s="43" t="str">
        <x:v>SRC213; SRC252</x:v>
      </x:c>
    </x:row>
    <x:row r="34" ht="62" customHeight="1">
      <x:c r="A34" s="43" t="str">
        <x:v>OP-SOC-0030</x:v>
      </x:c>
      <x:c r="B34" s="43" t="str">
        <x:v>SOC-010</x:v>
      </x:c>
      <x:c r="C34" s="43" t="str">
        <x:v>Majority Unanimity</x:v>
      </x:c>
      <x:c r="D34" s="43" t="str">
        <x:v>Administrative, roster, or interaction record: unanimous-majority indicator</x:v>
      </x:c>
      <x:c r="E34" s="43" t="str">
        <x:v>Administrative / archival</x:v>
      </x:c>
      <x:c r="F34" s="43" t="str">
        <x:v>0–1 agreement proportion; unanimous versus nonunanimous</x:v>
      </x:c>
      <x:c r="G34" s="43" t="str">
        <x:v>High</x:v>
      </x:c>
      <x:c r="H34" s="43" t="str">
        <x:v>Presence and signal properties do not prove influence; selection, shared context, and preexisting similarity must be addressed. Coverage, opportunity, missingness, and selection into the recorded setting must be documented.</x:v>
      </x:c>
      <x:c r="I34" s="43" t="str">
        <x:v>SRC213; SRC252</x:v>
      </x:c>
    </x:row>
    <x:row r="35" ht="62" customHeight="1">
      <x:c r="A35" s="43" t="str">
        <x:v>OP-SOC-0031</x:v>
      </x:c>
      <x:c r="B35" s="43" t="str">
        <x:v>SOC-011</x:v>
      </x:c>
      <x:c r="C35" s="43" t="str">
        <x:v>Minority Consistency</x:v>
      </x:c>
      <x:c r="D35" s="43" t="str">
        <x:v>Construct-specific social assessment: Message consistency</x:v>
      </x:c>
      <x:c r="E35" s="43" t="str">
        <x:v>Self-report / assessment</x:v>
      </x:c>
      <x:c r="F35" s="43" t="str">
        <x:v>Proportion of consistent responses; cross-occasion stability; low–high consistency</x:v>
      </x:c>
      <x:c r="G35" s="43" t="str">
        <x:v>High</x:v>
      </x:c>
      <x:c r="H35" s="43" t="str">
        <x:v>Presence and signal properties do not prove influence; selection, shared context, and preexisting similarity must be addressed. Use an explicit social referent, unit of analysis, behavior, setting, and time window.</x:v>
      </x:c>
      <x:c r="I35" s="43" t="str">
        <x:v>SRC214; SRC252</x:v>
      </x:c>
    </x:row>
    <x:row r="36" ht="62" customHeight="1">
      <x:c r="A36" s="43" t="str">
        <x:v>OP-SOC-0032</x:v>
      </x:c>
      <x:c r="B36" s="43" t="str">
        <x:v>SOC-011</x:v>
      </x:c>
      <x:c r="C36" s="43" t="str">
        <x:v>Minority Consistency</x:v>
      </x:c>
      <x:c r="D36" s="43" t="str">
        <x:v>Observed relational or group indicator: cross-member agreement</x:v>
      </x:c>
      <x:c r="E36" s="43" t="str">
        <x:v>Behavioral / clinical assessment</x:v>
      </x:c>
      <x:c r="F36" s="43" t="str">
        <x:v>Proportion of consistent responses; cross-occasion stability; low–high consistency</x:v>
      </x:c>
      <x:c r="G36" s="43" t="str">
        <x:v>High</x:v>
      </x:c>
      <x:c r="H36" s="43" t="str">
        <x:v>Presence and signal properties do not prove influence; selection, shared context, and preexisting similarity must be addressed. Observation is an indicator and should be triangulated across actors or episodes where feasible.</x:v>
      </x:c>
      <x:c r="I36" s="43" t="str">
        <x:v>SRC214; SRC252</x:v>
      </x:c>
    </x:row>
    <x:row r="37" ht="62" customHeight="1">
      <x:c r="A37" s="43" t="str">
        <x:v>OP-SOC-0033</x:v>
      </x:c>
      <x:c r="B37" s="43" t="str">
        <x:v>SOC-011</x:v>
      </x:c>
      <x:c r="C37" s="43" t="str">
        <x:v>Minority Consistency</x:v>
      </x:c>
      <x:c r="D37" s="43" t="str">
        <x:v>Administrative, roster, or interaction record: persistence across rounds</x:v>
      </x:c>
      <x:c r="E37" s="43" t="str">
        <x:v>Administrative / archival</x:v>
      </x:c>
      <x:c r="F37" s="43" t="str">
        <x:v>Proportion of consistent responses; cross-occasion stability; low–high consistency</x:v>
      </x:c>
      <x:c r="G37" s="43" t="str">
        <x:v>High</x:v>
      </x:c>
      <x:c r="H37" s="43" t="str">
        <x:v>Presence and signal properties do not prove influence; selection, shared context, and preexisting similarity must be addressed. Coverage, opportunity, missingness, and selection into the recorded setting must be documented.</x:v>
      </x:c>
      <x:c r="I37" s="43" t="str">
        <x:v>SRC214; SRC252</x:v>
      </x:c>
    </x:row>
    <x:row r="38" ht="62" customHeight="1">
      <x:c r="A38" s="43" t="str">
        <x:v>OP-SOC-0034</x:v>
      </x:c>
      <x:c r="B38" s="43" t="str">
        <x:v>SOC-012</x:v>
      </x:c>
      <x:c r="C38" s="43" t="str">
        <x:v>Peer Presence</x:v>
      </x:c>
      <x:c r="D38" s="43" t="str">
        <x:v>Construct-specific social assessment: Attendance roster</x:v>
      </x:c>
      <x:c r="E38" s="43" t="str">
        <x:v>Self-report / assessment</x:v>
      </x:c>
      <x:c r="F38" s="43" t="str">
        <x:v>Number of present peers; alone versus one or more peers</x:v>
      </x:c>
      <x:c r="G38" s="43" t="str">
        <x:v>High</x:v>
      </x:c>
      <x:c r="H38" s="43" t="str">
        <x:v>Presence and signal properties do not prove influence; selection, shared context, and preexisting similarity must be addressed. Use an explicit social referent, unit of analysis, behavior, setting, and time window.</x:v>
      </x:c>
      <x:c r="I38" s="43" t="str">
        <x:v>SRC215; SRC241</x:v>
      </x:c>
    </x:row>
    <x:row r="39" ht="62" customHeight="1">
      <x:c r="A39" s="43" t="str">
        <x:v>OP-SOC-0035</x:v>
      </x:c>
      <x:c r="B39" s="43" t="str">
        <x:v>SOC-012</x:v>
      </x:c>
      <x:c r="C39" s="43" t="str">
        <x:v>Peer Presence</x:v>
      </x:c>
      <x:c r="D39" s="43" t="str">
        <x:v>Observed relational or group indicator: co-presence log</x:v>
      </x:c>
      <x:c r="E39" s="43" t="str">
        <x:v>Behavioral / clinical assessment</x:v>
      </x:c>
      <x:c r="F39" s="43" t="str">
        <x:v>Number of present peers; alone versus one or more peers</x:v>
      </x:c>
      <x:c r="G39" s="43" t="str">
        <x:v>High</x:v>
      </x:c>
      <x:c r="H39" s="43" t="str">
        <x:v>Presence and signal properties do not prove influence; selection, shared context, and preexisting similarity must be addressed. Observation is an indicator and should be triangulated across actors or episodes where feasible.</x:v>
      </x:c>
      <x:c r="I39" s="43" t="str">
        <x:v>SRC215; SRC241</x:v>
      </x:c>
    </x:row>
    <x:row r="40" ht="62" customHeight="1">
      <x:c r="A40" s="43" t="str">
        <x:v>OP-SOC-0036</x:v>
      </x:c>
      <x:c r="B40" s="43" t="str">
        <x:v>SOC-012</x:v>
      </x:c>
      <x:c r="C40" s="43" t="str">
        <x:v>Peer Presence</x:v>
      </x:c>
      <x:c r="D40" s="43" t="str">
        <x:v>Administrative, roster, or interaction record: visible participant count</x:v>
      </x:c>
      <x:c r="E40" s="43" t="str">
        <x:v>Administrative / archival</x:v>
      </x:c>
      <x:c r="F40" s="43" t="str">
        <x:v>Number of present peers; alone versus one or more peers</x:v>
      </x:c>
      <x:c r="G40" s="43" t="str">
        <x:v>High</x:v>
      </x:c>
      <x:c r="H40" s="43" t="str">
        <x:v>Presence and signal properties do not prove influence; selection, shared context, and preexisting similarity must be addressed. Coverage, opportunity, missingness, and selection into the recorded setting must be documented.</x:v>
      </x:c>
      <x:c r="I40" s="43" t="str">
        <x:v>SRC215; SRC241</x:v>
      </x:c>
    </x:row>
    <x:row r="41" ht="62" customHeight="1">
      <x:c r="A41" s="43" t="str">
        <x:v>OP-SOC-0037</x:v>
      </x:c>
      <x:c r="B41" s="43" t="str">
        <x:v>SOC-013</x:v>
      </x:c>
      <x:c r="C41" s="43" t="str">
        <x:v>Peer Behavior Exposure Frequency</x:v>
      </x:c>
      <x:c r="D41" s="43" t="str">
        <x:v>Construct-specific social assessment: Observed peer acts</x:v>
      </x:c>
      <x:c r="E41" s="43" t="str">
        <x:v>Self-report / assessment</x:v>
      </x:c>
      <x:c r="F41" s="43" t="str">
        <x:v>Exposures per hour, day, week, or decision episode</x:v>
      </x:c>
      <x:c r="G41" s="43" t="str">
        <x:v>High</x:v>
      </x:c>
      <x:c r="H41" s="43" t="str">
        <x:v>Presence and signal properties do not prove influence; selection, shared context, and preexisting similarity must be addressed. Use an explicit social referent, unit of analysis, behavior, setting, and time window.</x:v>
      </x:c>
      <x:c r="I41" s="43" t="str">
        <x:v>SRC215; SRC236; SRC237</x:v>
      </x:c>
    </x:row>
    <x:row r="42" ht="62" customHeight="1">
      <x:c r="A42" s="43" t="str">
        <x:v>OP-SOC-0038</x:v>
      </x:c>
      <x:c r="B42" s="43" t="str">
        <x:v>SOC-013</x:v>
      </x:c>
      <x:c r="C42" s="43" t="str">
        <x:v>Peer Behavior Exposure Frequency</x:v>
      </x:c>
      <x:c r="D42" s="43" t="str">
        <x:v>Observed relational or group indicator: exposure diary</x:v>
      </x:c>
      <x:c r="E42" s="43" t="str">
        <x:v>Behavioral / clinical assessment</x:v>
      </x:c>
      <x:c r="F42" s="43" t="str">
        <x:v>Exposures per hour, day, week, or decision episode</x:v>
      </x:c>
      <x:c r="G42" s="43" t="str">
        <x:v>High</x:v>
      </x:c>
      <x:c r="H42" s="43" t="str">
        <x:v>Presence and signal properties do not prove influence; selection, shared context, and preexisting similarity must be addressed. Observation is an indicator and should be triangulated across actors or episodes where feasible.</x:v>
      </x:c>
      <x:c r="I42" s="43" t="str">
        <x:v>SRC215; SRC236; SRC237</x:v>
      </x:c>
    </x:row>
    <x:row r="43" ht="62" customHeight="1">
      <x:c r="A43" s="43" t="str">
        <x:v>OP-SOC-0039</x:v>
      </x:c>
      <x:c r="B43" s="43" t="str">
        <x:v>SOC-013</x:v>
      </x:c>
      <x:c r="C43" s="43" t="str">
        <x:v>Peer Behavior Exposure Frequency</x:v>
      </x:c>
      <x:c r="D43" s="43" t="str">
        <x:v>Administrative, roster, or interaction record: time-stamped interaction trace</x:v>
      </x:c>
      <x:c r="E43" s="43" t="str">
        <x:v>Administrative / archival</x:v>
      </x:c>
      <x:c r="F43" s="43" t="str">
        <x:v>Exposures per hour, day, week, or decision episode</x:v>
      </x:c>
      <x:c r="G43" s="43" t="str">
        <x:v>High</x:v>
      </x:c>
      <x:c r="H43" s="43" t="str">
        <x:v>Presence and signal properties do not prove influence; selection, shared context, and preexisting similarity must be addressed. Coverage, opportunity, missingness, and selection into the recorded setting must be documented.</x:v>
      </x:c>
      <x:c r="I43" s="43" t="str">
        <x:v>SRC215; SRC236; SRC237</x:v>
      </x:c>
    </x:row>
    <x:row r="44" ht="62" customHeight="1">
      <x:c r="A44" s="43" t="str">
        <x:v>OP-SOC-0040</x:v>
      </x:c>
      <x:c r="B44" s="43" t="str">
        <x:v>SOC-014</x:v>
      </x:c>
      <x:c r="C44" s="43" t="str">
        <x:v>Social Model Similarity</x:v>
      </x:c>
      <x:c r="D44" s="43" t="str">
        <x:v>Construct-specific social assessment: Shared role</x:v>
      </x:c>
      <x:c r="E44" s="43" t="str">
        <x:v>Self-report / assessment</x:v>
      </x:c>
      <x:c r="F44" s="43" t="str">
        <x:v>Low–high similarity; matched-attribute proportion; multidimensional distance</x:v>
      </x:c>
      <x:c r="G44" s="43" t="str">
        <x:v>High</x:v>
      </x:c>
      <x:c r="H44" s="43" t="str">
        <x:v>Presence and signal properties do not prove influence; selection, shared context, and preexisting similarity must be addressed. Use an explicit social referent, unit of analysis, behavior, setting, and time window.</x:v>
      </x:c>
      <x:c r="I44" s="43" t="str">
        <x:v>SRC210; SRC216; SRC252</x:v>
      </x:c>
    </x:row>
    <x:row r="45" ht="62" customHeight="1">
      <x:c r="A45" s="43" t="str">
        <x:v>OP-SOC-0041</x:v>
      </x:c>
      <x:c r="B45" s="43" t="str">
        <x:v>SOC-014</x:v>
      </x:c>
      <x:c r="C45" s="43" t="str">
        <x:v>Social Model Similarity</x:v>
      </x:c>
      <x:c r="D45" s="43" t="str">
        <x:v>Observed relational or group indicator: age or experience match</x:v>
      </x:c>
      <x:c r="E45" s="43" t="str">
        <x:v>Behavioral / clinical assessment</x:v>
      </x:c>
      <x:c r="F45" s="43" t="str">
        <x:v>Low–high similarity; matched-attribute proportion; multidimensional distance</x:v>
      </x:c>
      <x:c r="G45" s="43" t="str">
        <x:v>High</x:v>
      </x:c>
      <x:c r="H45" s="43" t="str">
        <x:v>Presence and signal properties do not prove influence; selection, shared context, and preexisting similarity must be addressed. Observation is an indicator and should be triangulated across actors or episodes where feasible.</x:v>
      </x:c>
      <x:c r="I45" s="43" t="str">
        <x:v>SRC210; SRC216; SRC252</x:v>
      </x:c>
    </x:row>
    <x:row r="46" ht="62" customHeight="1">
      <x:c r="A46" s="43" t="str">
        <x:v>OP-SOC-0042</x:v>
      </x:c>
      <x:c r="B46" s="43" t="str">
        <x:v>SOC-014</x:v>
      </x:c>
      <x:c r="C46" s="43" t="str">
        <x:v>Social Model Similarity</x:v>
      </x:c>
      <x:c r="D46" s="43" t="str">
        <x:v>Administrative, roster, or interaction record: matched-group membership</x:v>
      </x:c>
      <x:c r="E46" s="43" t="str">
        <x:v>Administrative / archival</x:v>
      </x:c>
      <x:c r="F46" s="43" t="str">
        <x:v>Low–high similarity; matched-attribute proportion; multidimensional distance</x:v>
      </x:c>
      <x:c r="G46" s="43" t="str">
        <x:v>High</x:v>
      </x:c>
      <x:c r="H46" s="43" t="str">
        <x:v>Presence and signal properties do not prove influence; selection, shared context, and preexisting similarity must be addressed. Coverage, opportunity, missingness, and selection into the recorded setting must be documented.</x:v>
      </x:c>
      <x:c r="I46" s="43" t="str">
        <x:v>SRC210; SRC216; SRC252</x:v>
      </x:c>
    </x:row>
    <x:row r="47" ht="62" customHeight="1">
      <x:c r="A47" s="43" t="str">
        <x:v>OP-SOC-0043</x:v>
      </x:c>
      <x:c r="B47" s="43" t="str">
        <x:v>SOC-015</x:v>
      </x:c>
      <x:c r="C47" s="43" t="str">
        <x:v>Social Model Status</x:v>
      </x:c>
      <x:c r="D47" s="43" t="str">
        <x:v>Construct-specific social assessment: Sociometric rank</x:v>
      </x:c>
      <x:c r="E47" s="43" t="str">
        <x:v>Self-report / assessment</x:v>
      </x:c>
      <x:c r="F47" s="43" t="str">
        <x:v>Rank category; peer–leader–elite; sociometric status score</x:v>
      </x:c>
      <x:c r="G47" s="43" t="str">
        <x:v>High</x:v>
      </x:c>
      <x:c r="H47" s="43" t="str">
        <x:v>Presence and signal properties do not prove influence; selection, shared context, and preexisting similarity must be addressed. Use an explicit social referent, unit of analysis, behavior, setting, and time window.</x:v>
      </x:c>
      <x:c r="I47" s="43" t="str">
        <x:v>SRC227; SRC228; SRC250</x:v>
      </x:c>
    </x:row>
    <x:row r="48" ht="62" customHeight="1">
      <x:c r="A48" s="43" t="str">
        <x:v>OP-SOC-0044</x:v>
      </x:c>
      <x:c r="B48" s="43" t="str">
        <x:v>SOC-015</x:v>
      </x:c>
      <x:c r="C48" s="43" t="str">
        <x:v>Social Model Status</x:v>
      </x:c>
      <x:c r="D48" s="43" t="str">
        <x:v>Observed relational or group indicator: deference nominations</x:v>
      </x:c>
      <x:c r="E48" s="43" t="str">
        <x:v>Behavioral / clinical assessment</x:v>
      </x:c>
      <x:c r="F48" s="43" t="str">
        <x:v>Rank category; peer–leader–elite; sociometric status score</x:v>
      </x:c>
      <x:c r="G48" s="43" t="str">
        <x:v>High</x:v>
      </x:c>
      <x:c r="H48" s="43" t="str">
        <x:v>Presence and signal properties do not prove influence; selection, shared context, and preexisting similarity must be addressed. Observation is an indicator and should be triangulated across actors or episodes where feasible.</x:v>
      </x:c>
      <x:c r="I48" s="43" t="str">
        <x:v>SRC227; SRC228; SRC250</x:v>
      </x:c>
    </x:row>
    <x:row r="49" ht="62" customHeight="1">
      <x:c r="A49" s="43" t="str">
        <x:v>OP-SOC-0045</x:v>
      </x:c>
      <x:c r="B49" s="43" t="str">
        <x:v>SOC-015</x:v>
      </x:c>
      <x:c r="C49" s="43" t="str">
        <x:v>Social Model Status</x:v>
      </x:c>
      <x:c r="D49" s="43" t="str">
        <x:v>Administrative, roster, or interaction record: role prestige</x:v>
      </x:c>
      <x:c r="E49" s="43" t="str">
        <x:v>Administrative / archival</x:v>
      </x:c>
      <x:c r="F49" s="43" t="str">
        <x:v>Rank category; peer–leader–elite; sociometric status score</x:v>
      </x:c>
      <x:c r="G49" s="43" t="str">
        <x:v>High</x:v>
      </x:c>
      <x:c r="H49" s="43" t="str">
        <x:v>Presence and signal properties do not prove influence; selection, shared context, and preexisting similarity must be addressed. Coverage, opportunity, missingness, and selection into the recorded setting must be documented.</x:v>
      </x:c>
      <x:c r="I49" s="43" t="str">
        <x:v>SRC227; SRC228; SRC250</x:v>
      </x:c>
    </x:row>
    <x:row r="50" ht="62" customHeight="1">
      <x:c r="A50" s="43" t="str">
        <x:v>OP-SOC-0046</x:v>
      </x:c>
      <x:c r="B50" s="43" t="str">
        <x:v>SOC-016</x:v>
      </x:c>
      <x:c r="C50" s="43" t="str">
        <x:v>Interaction Frequency</x:v>
      </x:c>
      <x:c r="D50" s="43" t="str">
        <x:v>Construct-specific social assessment: Communication events</x:v>
      </x:c>
      <x:c r="E50" s="43" t="str">
        <x:v>Self-report / assessment</x:v>
      </x:c>
      <x:c r="F50" s="43" t="str">
        <x:v>Interactions per day, week, or month; ordinal frequency category</x:v>
      </x:c>
      <x:c r="G50" s="43" t="str">
        <x:v>Moderate</x:v>
      </x:c>
      <x:c r="H50" s="43" t="str">
        <x:v>Tie dimensions are not interchangeable, and self-reported closeness, observed contact, and mutual recognition may diverge. Use an explicit social referent, unit of analysis, behavior, setting, and time window.</x:v>
      </x:c>
      <x:c r="I50" s="43" t="str">
        <x:v>SRC222; SRC234; SRC254</x:v>
      </x:c>
    </x:row>
    <x:row r="51" ht="62" customHeight="1">
      <x:c r="A51" s="43" t="str">
        <x:v>OP-SOC-0047</x:v>
      </x:c>
      <x:c r="B51" s="43" t="str">
        <x:v>SOC-016</x:v>
      </x:c>
      <x:c r="C51" s="43" t="str">
        <x:v>Interaction Frequency</x:v>
      </x:c>
      <x:c r="D51" s="43" t="str">
        <x:v>Observed relational or group indicator: meeting count</x:v>
      </x:c>
      <x:c r="E51" s="43" t="str">
        <x:v>Behavioral / clinical assessment</x:v>
      </x:c>
      <x:c r="F51" s="43" t="str">
        <x:v>Interactions per day, week, or month; ordinal frequency category</x:v>
      </x:c>
      <x:c r="G51" s="43" t="str">
        <x:v>Moderate</x:v>
      </x:c>
      <x:c r="H51" s="43" t="str">
        <x:v>Tie dimensions are not interchangeable, and self-reported closeness, observed contact, and mutual recognition may diverge. Observation is an indicator and should be triangulated across actors or episodes where feasible.</x:v>
      </x:c>
      <x:c r="I51" s="43" t="str">
        <x:v>SRC222; SRC234; SRC254</x:v>
      </x:c>
    </x:row>
    <x:row r="52" ht="62" customHeight="1">
      <x:c r="A52" s="43" t="str">
        <x:v>OP-SOC-0048</x:v>
      </x:c>
      <x:c r="B52" s="43" t="str">
        <x:v>SOC-016</x:v>
      </x:c>
      <x:c r="C52" s="43" t="str">
        <x:v>Interaction Frequency</x:v>
      </x:c>
      <x:c r="D52" s="43" t="str">
        <x:v>Administrative, roster, or interaction record: encounter diary</x:v>
      </x:c>
      <x:c r="E52" s="43" t="str">
        <x:v>Administrative / archival</x:v>
      </x:c>
      <x:c r="F52" s="43" t="str">
        <x:v>Interactions per day, week, or month; ordinal frequency category</x:v>
      </x:c>
      <x:c r="G52" s="43" t="str">
        <x:v>Moderate</x:v>
      </x:c>
      <x:c r="H52" s="43" t="str">
        <x:v>Tie dimensions are not interchangeable, and self-reported closeness, observed contact, and mutual recognition may diverge. Coverage, opportunity, missingness, and selection into the recorded setting must be documented.</x:v>
      </x:c>
      <x:c r="I52" s="43" t="str">
        <x:v>SRC222; SRC234; SRC254</x:v>
      </x:c>
    </x:row>
    <x:row r="53" ht="62" customHeight="1">
      <x:c r="A53" s="43" t="str">
        <x:v>OP-SOC-0049</x:v>
      </x:c>
      <x:c r="B53" s="43" t="str">
        <x:v>SOC-017</x:v>
      </x:c>
      <x:c r="C53" s="43" t="str">
        <x:v>Interaction Duration</x:v>
      </x:c>
      <x:c r="D53" s="43" t="str">
        <x:v>Construct-specific social assessment: Meeting duration</x:v>
      </x:c>
      <x:c r="E53" s="43" t="str">
        <x:v>Self-report / assessment</x:v>
      </x:c>
      <x:c r="F53" s="43" t="str">
        <x:v>Minutes or hours per interaction or period; duration distribution</x:v>
      </x:c>
      <x:c r="G53" s="43" t="str">
        <x:v>Moderate</x:v>
      </x:c>
      <x:c r="H53" s="43" t="str">
        <x:v>Tie dimensions are not interchangeable, and self-reported closeness, observed contact, and mutual recognition may diverge. Use an explicit social referent, unit of analysis, behavior, setting, and time window.</x:v>
      </x:c>
      <x:c r="I53" s="43" t="str">
        <x:v>SRC222; SRC254</x:v>
      </x:c>
    </x:row>
    <x:row r="54" ht="62" customHeight="1">
      <x:c r="A54" s="43" t="str">
        <x:v>OP-SOC-0050</x:v>
      </x:c>
      <x:c r="B54" s="43" t="str">
        <x:v>SOC-017</x:v>
      </x:c>
      <x:c r="C54" s="43" t="str">
        <x:v>Interaction Duration</x:v>
      </x:c>
      <x:c r="D54" s="43" t="str">
        <x:v>Observed relational or group indicator: co-presence time</x:v>
      </x:c>
      <x:c r="E54" s="43" t="str">
        <x:v>Behavioral / clinical assessment</x:v>
      </x:c>
      <x:c r="F54" s="43" t="str">
        <x:v>Minutes or hours per interaction or period; duration distribution</x:v>
      </x:c>
      <x:c r="G54" s="43" t="str">
        <x:v>Moderate</x:v>
      </x:c>
      <x:c r="H54" s="43" t="str">
        <x:v>Tie dimensions are not interchangeable, and self-reported closeness, observed contact, and mutual recognition may diverge. Observation is an indicator and should be triangulated across actors or episodes where feasible.</x:v>
      </x:c>
      <x:c r="I54" s="43" t="str">
        <x:v>SRC222; SRC254</x:v>
      </x:c>
    </x:row>
    <x:row r="55" ht="62" customHeight="1">
      <x:c r="A55" s="43" t="str">
        <x:v>OP-SOC-0051</x:v>
      </x:c>
      <x:c r="B55" s="43" t="str">
        <x:v>SOC-017</x:v>
      </x:c>
      <x:c r="C55" s="43" t="str">
        <x:v>Interaction Duration</x:v>
      </x:c>
      <x:c r="D55" s="43" t="str">
        <x:v>Administrative, roster, or interaction record: call length</x:v>
      </x:c>
      <x:c r="E55" s="43" t="str">
        <x:v>Administrative / archival</x:v>
      </x:c>
      <x:c r="F55" s="43" t="str">
        <x:v>Minutes or hours per interaction or period; duration distribution</x:v>
      </x:c>
      <x:c r="G55" s="43" t="str">
        <x:v>Moderate</x:v>
      </x:c>
      <x:c r="H55" s="43" t="str">
        <x:v>Tie dimensions are not interchangeable, and self-reported closeness, observed contact, and mutual recognition may diverge. Coverage, opportunity, missingness, and selection into the recorded setting must be documented.</x:v>
      </x:c>
      <x:c r="I55" s="43" t="str">
        <x:v>SRC222; SRC254</x:v>
      </x:c>
    </x:row>
    <x:row r="56" ht="62" customHeight="1">
      <x:c r="A56" s="43" t="str">
        <x:v>OP-SOC-0052</x:v>
      </x:c>
      <x:c r="B56" s="43" t="str">
        <x:v>SOC-018</x:v>
      </x:c>
      <x:c r="C56" s="43" t="str">
        <x:v>Relationship Duration</x:v>
      </x:c>
      <x:c r="D56" s="43" t="str">
        <x:v>Construct-specific social assessment: Tie start date</x:v>
      </x:c>
      <x:c r="E56" s="43" t="str">
        <x:v>Self-report / assessment</x:v>
      </x:c>
      <x:c r="F56" s="43" t="str">
        <x:v>Days, months, or years since tie formation</x:v>
      </x:c>
      <x:c r="G56" s="43" t="str">
        <x:v>Moderate</x:v>
      </x:c>
      <x:c r="H56" s="43" t="str">
        <x:v>Tie dimensions are not interchangeable, and self-reported closeness, observed contact, and mutual recognition may diverge. Use an explicit social referent, unit of analysis, behavior, setting, and time window.</x:v>
      </x:c>
      <x:c r="I56" s="43" t="str">
        <x:v>SRC223; SRC234; SRC254</x:v>
      </x:c>
    </x:row>
    <x:row r="57" ht="62" customHeight="1">
      <x:c r="A57" s="43" t="str">
        <x:v>OP-SOC-0053</x:v>
      </x:c>
      <x:c r="B57" s="43" t="str">
        <x:v>SOC-018</x:v>
      </x:c>
      <x:c r="C57" s="43" t="str">
        <x:v>Relationship Duration</x:v>
      </x:c>
      <x:c r="D57" s="43" t="str">
        <x:v>Observed relational or group indicator: shared-tenure record</x:v>
      </x:c>
      <x:c r="E57" s="43" t="str">
        <x:v>Behavioral / clinical assessment</x:v>
      </x:c>
      <x:c r="F57" s="43" t="str">
        <x:v>Days, months, or years since tie formation</x:v>
      </x:c>
      <x:c r="G57" s="43" t="str">
        <x:v>Moderate</x:v>
      </x:c>
      <x:c r="H57" s="43" t="str">
        <x:v>Tie dimensions are not interchangeable, and self-reported closeness, observed contact, and mutual recognition may diverge. Observation is an indicator and should be triangulated across actors or episodes where feasible.</x:v>
      </x:c>
      <x:c r="I57" s="43" t="str">
        <x:v>SRC223; SRC234; SRC254</x:v>
      </x:c>
    </x:row>
    <x:row r="58" ht="62" customHeight="1">
      <x:c r="A58" s="43" t="str">
        <x:v>OP-SOC-0054</x:v>
      </x:c>
      <x:c r="B58" s="43" t="str">
        <x:v>SOC-018</x:v>
      </x:c>
      <x:c r="C58" s="43" t="str">
        <x:v>Relationship Duration</x:v>
      </x:c>
      <x:c r="D58" s="43" t="str">
        <x:v>Administrative, roster, or interaction record: retrospective relationship age</x:v>
      </x:c>
      <x:c r="E58" s="43" t="str">
        <x:v>Administrative / archival</x:v>
      </x:c>
      <x:c r="F58" s="43" t="str">
        <x:v>Days, months, or years since tie formation</x:v>
      </x:c>
      <x:c r="G58" s="43" t="str">
        <x:v>Moderate</x:v>
      </x:c>
      <x:c r="H58" s="43" t="str">
        <x:v>Tie dimensions are not interchangeable, and self-reported closeness, observed contact, and mutual recognition may diverge. Coverage, opportunity, missingness, and selection into the recorded setting must be documented.</x:v>
      </x:c>
      <x:c r="I58" s="43" t="str">
        <x:v>SRC223; SRC234; SRC254</x:v>
      </x:c>
    </x:row>
    <x:row r="59" ht="62" customHeight="1">
      <x:c r="A59" s="43" t="str">
        <x:v>OP-SOC-0055</x:v>
      </x:c>
      <x:c r="B59" s="43" t="str">
        <x:v>SOC-019</x:v>
      </x:c>
      <x:c r="C59" s="43" t="str">
        <x:v>Relational Closeness</x:v>
      </x:c>
      <x:c r="D59" s="43" t="str">
        <x:v>Construct-specific social assessment: Reciprocal closeness ratings</x:v>
      </x:c>
      <x:c r="E59" s="43" t="str">
        <x:v>Self-report / assessment</x:v>
      </x:c>
      <x:c r="F59" s="43" t="str">
        <x:v>Low–high closeness; reciprocal closeness score; multidimensional tie-strength profile</x:v>
      </x:c>
      <x:c r="G59" s="43" t="str">
        <x:v>Moderate</x:v>
      </x:c>
      <x:c r="H59" s="43" t="str">
        <x:v>Tie dimensions are not interchangeable, and self-reported closeness, observed contact, and mutual recognition may diverge. Use an explicit social referent, unit of analysis, behavior, setting, and time window.</x:v>
      </x:c>
      <x:c r="I59" s="43" t="str">
        <x:v>SRC234; SRC237; SRC254</x:v>
      </x:c>
    </x:row>
    <x:row r="60" ht="62" customHeight="1">
      <x:c r="A60" s="43" t="str">
        <x:v>OP-SOC-0056</x:v>
      </x:c>
      <x:c r="B60" s="43" t="str">
        <x:v>SOC-019</x:v>
      </x:c>
      <x:c r="C60" s="43" t="str">
        <x:v>Relational Closeness</x:v>
      </x:c>
      <x:c r="D60" s="43" t="str">
        <x:v>Observed relational or group indicator: disclosure depth</x:v>
      </x:c>
      <x:c r="E60" s="43" t="str">
        <x:v>Behavioral / clinical assessment</x:v>
      </x:c>
      <x:c r="F60" s="43" t="str">
        <x:v>Low–high closeness; reciprocal closeness score; multidimensional tie-strength profile</x:v>
      </x:c>
      <x:c r="G60" s="43" t="str">
        <x:v>Moderate</x:v>
      </x:c>
      <x:c r="H60" s="43" t="str">
        <x:v>Tie dimensions are not interchangeable, and self-reported closeness, observed contact, and mutual recognition may diverge. Observation is an indicator and should be triangulated across actors or episodes where feasible.</x:v>
      </x:c>
      <x:c r="I60" s="43" t="str">
        <x:v>SRC234; SRC237; SRC254</x:v>
      </x:c>
    </x:row>
    <x:row r="61" ht="62" customHeight="1">
      <x:c r="A61" s="43" t="str">
        <x:v>OP-SOC-0057</x:v>
      </x:c>
      <x:c r="B61" s="43" t="str">
        <x:v>SOC-019</x:v>
      </x:c>
      <x:c r="C61" s="43" t="str">
        <x:v>Relational Closeness</x:v>
      </x:c>
      <x:c r="D61" s="43" t="str">
        <x:v>Administrative, roster, or interaction record: joint activity</x:v>
      </x:c>
      <x:c r="E61" s="43" t="str">
        <x:v>Administrative / archival</x:v>
      </x:c>
      <x:c r="F61" s="43" t="str">
        <x:v>Low–high closeness; reciprocal closeness score; multidimensional tie-strength profile</x:v>
      </x:c>
      <x:c r="G61" s="43" t="str">
        <x:v>Moderate</x:v>
      </x:c>
      <x:c r="H61" s="43" t="str">
        <x:v>Tie dimensions are not interchangeable, and self-reported closeness, observed contact, and mutual recognition may diverge. Coverage, opportunity, missingness, and selection into the recorded setting must be documented.</x:v>
      </x:c>
      <x:c r="I61" s="43" t="str">
        <x:v>SRC234; SRC237; SRC254</x:v>
      </x:c>
    </x:row>
    <x:row r="62" ht="62" customHeight="1">
      <x:c r="A62" s="43" t="str">
        <x:v>OP-SOC-0058</x:v>
      </x:c>
      <x:c r="B62" s="43" t="str">
        <x:v>SOC-020</x:v>
      </x:c>
      <x:c r="C62" s="43" t="str">
        <x:v>Tie Reciprocity</x:v>
      </x:c>
      <x:c r="D62" s="43" t="str">
        <x:v>Construct-specific social assessment: Mutual nominations</x:v>
      </x:c>
      <x:c r="E62" s="43" t="str">
        <x:v>Self-report / assessment</x:v>
      </x:c>
      <x:c r="F62" s="43" t="str">
        <x:v>Reciprocated-tie indicator; proportion of mutual nominations; exchange-return ratio</x:v>
      </x:c>
      <x:c r="G62" s="43" t="str">
        <x:v>Moderate</x:v>
      </x:c>
      <x:c r="H62" s="43" t="str">
        <x:v>Tie dimensions are not interchangeable, and self-reported closeness, observed contact, and mutual recognition may diverge. Use an explicit social referent, unit of analysis, behavior, setting, and time window.</x:v>
      </x:c>
      <x:c r="I62" s="43" t="str">
        <x:v>SRC224; SRC248; SRC254</x:v>
      </x:c>
    </x:row>
    <x:row r="63" ht="62" customHeight="1">
      <x:c r="A63" s="43" t="str">
        <x:v>OP-SOC-0059</x:v>
      </x:c>
      <x:c r="B63" s="43" t="str">
        <x:v>SOC-020</x:v>
      </x:c>
      <x:c r="C63" s="43" t="str">
        <x:v>Tie Reciprocity</x:v>
      </x:c>
      <x:c r="D63" s="43" t="str">
        <x:v>Observed relational or group indicator: bidirectional contact</x:v>
      </x:c>
      <x:c r="E63" s="43" t="str">
        <x:v>Behavioral / clinical assessment</x:v>
      </x:c>
      <x:c r="F63" s="43" t="str">
        <x:v>Reciprocated-tie indicator; proportion of mutual nominations; exchange-return ratio</x:v>
      </x:c>
      <x:c r="G63" s="43" t="str">
        <x:v>Moderate</x:v>
      </x:c>
      <x:c r="H63" s="43" t="str">
        <x:v>Tie dimensions are not interchangeable, and self-reported closeness, observed contact, and mutual recognition may diverge. Observation is an indicator and should be triangulated across actors or episodes where feasible.</x:v>
      </x:c>
      <x:c r="I63" s="43" t="str">
        <x:v>SRC224; SRC248; SRC254</x:v>
      </x:c>
    </x:row>
    <x:row r="64" ht="62" customHeight="1">
      <x:c r="A64" s="43" t="str">
        <x:v>OP-SOC-0060</x:v>
      </x:c>
      <x:c r="B64" s="43" t="str">
        <x:v>SOC-020</x:v>
      </x:c>
      <x:c r="C64" s="43" t="str">
        <x:v>Tie Reciprocity</x:v>
      </x:c>
      <x:c r="D64" s="43" t="str">
        <x:v>Administrative, roster, or interaction record: returned support or exchange</x:v>
      </x:c>
      <x:c r="E64" s="43" t="str">
        <x:v>Administrative / archival</x:v>
      </x:c>
      <x:c r="F64" s="43" t="str">
        <x:v>Reciprocated-tie indicator; proportion of mutual nominations; exchange-return ratio</x:v>
      </x:c>
      <x:c r="G64" s="43" t="str">
        <x:v>Moderate</x:v>
      </x:c>
      <x:c r="H64" s="43" t="str">
        <x:v>Tie dimensions are not interchangeable, and self-reported closeness, observed contact, and mutual recognition may diverge. Coverage, opportunity, missingness, and selection into the recorded setting must be documented.</x:v>
      </x:c>
      <x:c r="I64" s="43" t="str">
        <x:v>SRC224; SRC248; SRC254</x:v>
      </x:c>
    </x:row>
    <x:row r="65" ht="62" customHeight="1">
      <x:c r="A65" s="43" t="str">
        <x:v>OP-SOC-0061</x:v>
      </x:c>
      <x:c r="B65" s="43" t="str">
        <x:v>SOC-021</x:v>
      </x:c>
      <x:c r="C65" s="43" t="str">
        <x:v>Tie Multiplexity</x:v>
      </x:c>
      <x:c r="D65" s="43" t="str">
        <x:v>Construct-specific social assessment: Number of shared roles</x:v>
      </x:c>
      <x:c r="E65" s="43" t="str">
        <x:v>Self-report / assessment</x:v>
      </x:c>
      <x:c r="F65" s="43" t="str">
        <x:v>Count of distinct tie types; multiplexity index</x:v>
      </x:c>
      <x:c r="G65" s="43" t="str">
        <x:v>Moderate</x:v>
      </x:c>
      <x:c r="H65" s="43" t="str">
        <x:v>Tie dimensions are not interchangeable, and self-reported closeness, observed contact, and mutual recognition may diverge. Use an explicit social referent, unit of analysis, behavior, setting, and time window.</x:v>
      </x:c>
      <x:c r="I65" s="43" t="str">
        <x:v>SRC254; SRC234</x:v>
      </x:c>
    </x:row>
    <x:row r="66" ht="62" customHeight="1">
      <x:c r="A66" s="43" t="str">
        <x:v>OP-SOC-0062</x:v>
      </x:c>
      <x:c r="B66" s="43" t="str">
        <x:v>SOC-021</x:v>
      </x:c>
      <x:c r="C66" s="43" t="str">
        <x:v>Tie Multiplexity</x:v>
      </x:c>
      <x:c r="D66" s="43" t="str">
        <x:v>Observed relational or group indicator: tie-type roster</x:v>
      </x:c>
      <x:c r="E66" s="43" t="str">
        <x:v>Behavioral / clinical assessment</x:v>
      </x:c>
      <x:c r="F66" s="43" t="str">
        <x:v>Count of distinct tie types; multiplexity index</x:v>
      </x:c>
      <x:c r="G66" s="43" t="str">
        <x:v>Moderate</x:v>
      </x:c>
      <x:c r="H66" s="43" t="str">
        <x:v>Tie dimensions are not interchangeable, and self-reported closeness, observed contact, and mutual recognition may diverge. Observation is an indicator and should be triangulated across actors or episodes where feasible.</x:v>
      </x:c>
      <x:c r="I66" s="43" t="str">
        <x:v>SRC254; SRC234</x:v>
      </x:c>
    </x:row>
    <x:row r="67" ht="62" customHeight="1">
      <x:c r="A67" s="43" t="str">
        <x:v>OP-SOC-0063</x:v>
      </x:c>
      <x:c r="B67" s="43" t="str">
        <x:v>SOC-021</x:v>
      </x:c>
      <x:c r="C67" s="43" t="str">
        <x:v>Tie Multiplexity</x:v>
      </x:c>
      <x:c r="D67" s="43" t="str">
        <x:v>Administrative, roster, or interaction record: multiplex network layers</x:v>
      </x:c>
      <x:c r="E67" s="43" t="str">
        <x:v>Administrative / archival</x:v>
      </x:c>
      <x:c r="F67" s="43" t="str">
        <x:v>Count of distinct tie types; multiplexity index</x:v>
      </x:c>
      <x:c r="G67" s="43" t="str">
        <x:v>Moderate</x:v>
      </x:c>
      <x:c r="H67" s="43" t="str">
        <x:v>Tie dimensions are not interchangeable, and self-reported closeness, observed contact, and mutual recognition may diverge. Coverage, opportunity, missingness, and selection into the recorded setting must be documented.</x:v>
      </x:c>
      <x:c r="I67" s="43" t="str">
        <x:v>SRC254; SRC234</x:v>
      </x:c>
    </x:row>
    <x:row r="68" ht="62" customHeight="1">
      <x:c r="A68" s="43" t="str">
        <x:v>OP-SOC-0064</x:v>
      </x:c>
      <x:c r="B68" s="43" t="str">
        <x:v>SOC-022</x:v>
      </x:c>
      <x:c r="C68" s="43" t="str">
        <x:v>Relationship Stability</x:v>
      </x:c>
      <x:c r="D68" s="43" t="str">
        <x:v>Construct-specific social assessment: Tie survival</x:v>
      </x:c>
      <x:c r="E68" s="43" t="str">
        <x:v>Self-report / assessment</x:v>
      </x:c>
      <x:c r="F68" s="43" t="str">
        <x:v>Tie-survival probability; retained-versus-dissolved; persistence rate</x:v>
      </x:c>
      <x:c r="G68" s="43" t="str">
        <x:v>Moderate</x:v>
      </x:c>
      <x:c r="H68" s="43" t="str">
        <x:v>Tie dimensions are not interchangeable, and self-reported closeness, observed contact, and mutual recognition may diverge. Use an explicit social referent, unit of analysis, behavior, setting, and time window.</x:v>
      </x:c>
      <x:c r="I68" s="43" t="str">
        <x:v>SRC223; SRC234; SRC254</x:v>
      </x:c>
    </x:row>
    <x:row r="69" ht="62" customHeight="1">
      <x:c r="A69" s="43" t="str">
        <x:v>OP-SOC-0065</x:v>
      </x:c>
      <x:c r="B69" s="43" t="str">
        <x:v>SOC-022</x:v>
      </x:c>
      <x:c r="C69" s="43" t="str">
        <x:v>Relationship Stability</x:v>
      </x:c>
      <x:c r="D69" s="43" t="str">
        <x:v>Observed relational or group indicator: contact continuity</x:v>
      </x:c>
      <x:c r="E69" s="43" t="str">
        <x:v>Behavioral / clinical assessment</x:v>
      </x:c>
      <x:c r="F69" s="43" t="str">
        <x:v>Tie-survival probability; retained-versus-dissolved; persistence rate</x:v>
      </x:c>
      <x:c r="G69" s="43" t="str">
        <x:v>Moderate</x:v>
      </x:c>
      <x:c r="H69" s="43" t="str">
        <x:v>Tie dimensions are not interchangeable, and self-reported closeness, observed contact, and mutual recognition may diverge. Observation is an indicator and should be triangulated across actors or episodes where feasible.</x:v>
      </x:c>
      <x:c r="I69" s="43" t="str">
        <x:v>SRC223; SRC234; SRC254</x:v>
      </x:c>
    </x:row>
    <x:row r="70" ht="62" customHeight="1">
      <x:c r="A70" s="43" t="str">
        <x:v>OP-SOC-0066</x:v>
      </x:c>
      <x:c r="B70" s="43" t="str">
        <x:v>SOC-022</x:v>
      </x:c>
      <x:c r="C70" s="43" t="str">
        <x:v>Relationship Stability</x:v>
      </x:c>
      <x:c r="D70" s="43" t="str">
        <x:v>Administrative, roster, or interaction record: dissolution or reactivation events</x:v>
      </x:c>
      <x:c r="E70" s="43" t="str">
        <x:v>Administrative / archival</x:v>
      </x:c>
      <x:c r="F70" s="43" t="str">
        <x:v>Tie-survival probability; retained-versus-dissolved; persistence rate</x:v>
      </x:c>
      <x:c r="G70" s="43" t="str">
        <x:v>Moderate</x:v>
      </x:c>
      <x:c r="H70" s="43" t="str">
        <x:v>Tie dimensions are not interchangeable, and self-reported closeness, observed contact, and mutual recognition may diverge. Coverage, opportunity, missingness, and selection into the recorded setting must be documented.</x:v>
      </x:c>
      <x:c r="I70" s="43" t="str">
        <x:v>SRC223; SRC234; SRC254</x:v>
      </x:c>
    </x:row>
    <x:row r="71" ht="62" customHeight="1">
      <x:c r="A71" s="43" t="str">
        <x:v>OP-SOC-0067</x:v>
      </x:c>
      <x:c r="B71" s="43" t="str">
        <x:v>SOC-023</x:v>
      </x:c>
      <x:c r="C71" s="43" t="str">
        <x:v>Negative Interaction Frequency</x:v>
      </x:c>
      <x:c r="D71" s="43" t="str">
        <x:v>Construct-specific social assessment: Conflict episodes</x:v>
      </x:c>
      <x:c r="E71" s="43" t="str">
        <x:v>Self-report / assessment</x:v>
      </x:c>
      <x:c r="F71" s="43" t="str">
        <x:v>Negative interactions per day, week, or episode</x:v>
      </x:c>
      <x:c r="G71" s="43" t="str">
        <x:v>Moderate</x:v>
      </x:c>
      <x:c r="H71" s="43" t="str">
        <x:v>Tie dimensions are not interchangeable, and self-reported closeness, observed contact, and mutual recognition may diverge. Use an explicit social referent, unit of analysis, behavior, setting, and time window.</x:v>
      </x:c>
      <x:c r="I71" s="43" t="str">
        <x:v>SRC220; SRC254</x:v>
      </x:c>
    </x:row>
    <x:row r="72" ht="62" customHeight="1">
      <x:c r="A72" s="43" t="str">
        <x:v>OP-SOC-0068</x:v>
      </x:c>
      <x:c r="B72" s="43" t="str">
        <x:v>SOC-023</x:v>
      </x:c>
      <x:c r="C72" s="43" t="str">
        <x:v>Negative Interaction Frequency</x:v>
      </x:c>
      <x:c r="D72" s="43" t="str">
        <x:v>Observed relational or group indicator: hostile messages</x:v>
      </x:c>
      <x:c r="E72" s="43" t="str">
        <x:v>Behavioral / clinical assessment</x:v>
      </x:c>
      <x:c r="F72" s="43" t="str">
        <x:v>Negative interactions per day, week, or episode</x:v>
      </x:c>
      <x:c r="G72" s="43" t="str">
        <x:v>Moderate</x:v>
      </x:c>
      <x:c r="H72" s="43" t="str">
        <x:v>Tie dimensions are not interchangeable, and self-reported closeness, observed contact, and mutual recognition may diverge. Observation is an indicator and should be triangulated across actors or episodes where feasible.</x:v>
      </x:c>
      <x:c r="I72" s="43" t="str">
        <x:v>SRC220; SRC254</x:v>
      </x:c>
    </x:row>
    <x:row r="73" ht="62" customHeight="1">
      <x:c r="A73" s="43" t="str">
        <x:v>OP-SOC-0069</x:v>
      </x:c>
      <x:c r="B73" s="43" t="str">
        <x:v>SOC-023</x:v>
      </x:c>
      <x:c r="C73" s="43" t="str">
        <x:v>Negative Interaction Frequency</x:v>
      </x:c>
      <x:c r="D73" s="43" t="str">
        <x:v>Administrative, roster, or interaction record: undermining events</x:v>
      </x:c>
      <x:c r="E73" s="43" t="str">
        <x:v>Administrative / archival</x:v>
      </x:c>
      <x:c r="F73" s="43" t="str">
        <x:v>Negative interactions per day, week, or episode</x:v>
      </x:c>
      <x:c r="G73" s="43" t="str">
        <x:v>Moderate</x:v>
      </x:c>
      <x:c r="H73" s="43" t="str">
        <x:v>Tie dimensions are not interchangeable, and self-reported closeness, observed contact, and mutual recognition may diverge. Coverage, opportunity, missingness, and selection into the recorded setting must be documented.</x:v>
      </x:c>
      <x:c r="I73" s="43" t="str">
        <x:v>SRC220; SRC254</x:v>
      </x:c>
    </x:row>
    <x:row r="74" ht="62" customHeight="1">
      <x:c r="A74" s="43" t="str">
        <x:v>OP-SOC-0070</x:v>
      </x:c>
      <x:c r="B74" s="43" t="str">
        <x:v>SOC-024</x:v>
      </x:c>
      <x:c r="C74" s="43" t="str">
        <x:v>Personal Network Size</x:v>
      </x:c>
      <x:c r="D74" s="43" t="str">
        <x:v>Construct-specific social assessment: Named contacts</x:v>
      </x:c>
      <x:c r="E74" s="43" t="str">
        <x:v>Self-report / assessment</x:v>
      </x:c>
      <x:c r="F74" s="43" t="str">
        <x:v>Number of active alters in a defined personal network</x:v>
      </x:c>
      <x:c r="G74" s="43" t="str">
        <x:v>Moderate</x:v>
      </x:c>
      <x:c r="H74" s="43" t="str">
        <x:v>Structural integration, received support, perceived support, loneliness, and belonging are related but distinct constructs. Use an explicit social referent, unit of analysis, behavior, setting, and time window.</x:v>
      </x:c>
      <x:c r="I74" s="43" t="str">
        <x:v>SRC222; SRC256; SRC254</x:v>
      </x:c>
    </x:row>
    <x:row r="75" ht="62" customHeight="1">
      <x:c r="A75" s="43" t="str">
        <x:v>OP-SOC-0071</x:v>
      </x:c>
      <x:c r="B75" s="43" t="str">
        <x:v>SOC-024</x:v>
      </x:c>
      <x:c r="C75" s="43" t="str">
        <x:v>Personal Network Size</x:v>
      </x:c>
      <x:c r="D75" s="43" t="str">
        <x:v>Observed relational or group indicator: active-contact count</x:v>
      </x:c>
      <x:c r="E75" s="43" t="str">
        <x:v>Behavioral / clinical assessment</x:v>
      </x:c>
      <x:c r="F75" s="43" t="str">
        <x:v>Number of active alters in a defined personal network</x:v>
      </x:c>
      <x:c r="G75" s="43" t="str">
        <x:v>Moderate</x:v>
      </x:c>
      <x:c r="H75" s="43" t="str">
        <x:v>Structural integration, received support, perceived support, loneliness, and belonging are related but distinct constructs. Observation is an indicator and should be triangulated across actors or episodes where feasible.</x:v>
      </x:c>
      <x:c r="I75" s="43" t="str">
        <x:v>SRC222; SRC256; SRC254</x:v>
      </x:c>
    </x:row>
    <x:row r="76" ht="62" customHeight="1">
      <x:c r="A76" s="43" t="str">
        <x:v>OP-SOC-0072</x:v>
      </x:c>
      <x:c r="B76" s="43" t="str">
        <x:v>SOC-024</x:v>
      </x:c>
      <x:c r="C76" s="43" t="str">
        <x:v>Personal Network Size</x:v>
      </x:c>
      <x:c r="D76" s="43" t="str">
        <x:v>Administrative, roster, or interaction record: communication partners</x:v>
      </x:c>
      <x:c r="E76" s="43" t="str">
        <x:v>Administrative / archival</x:v>
      </x:c>
      <x:c r="F76" s="43" t="str">
        <x:v>Number of active alters in a defined personal network</x:v>
      </x:c>
      <x:c r="G76" s="43" t="str">
        <x:v>Moderate</x:v>
      </x:c>
      <x:c r="H76" s="43" t="str">
        <x:v>Structural integration, received support, perceived support, loneliness, and belonging are related but distinct constructs. Coverage, opportunity, missingness, and selection into the recorded setting must be documented.</x:v>
      </x:c>
      <x:c r="I76" s="43" t="str">
        <x:v>SRC222; SRC256; SRC254</x:v>
      </x:c>
    </x:row>
    <x:row r="77" ht="62" customHeight="1">
      <x:c r="A77" s="43" t="str">
        <x:v>OP-SOC-0073</x:v>
      </x:c>
      <x:c r="B77" s="43" t="str">
        <x:v>SOC-025</x:v>
      </x:c>
      <x:c r="C77" s="43" t="str">
        <x:v>Social Integration Breadth</x:v>
      </x:c>
      <x:c r="D77" s="43" t="str">
        <x:v>Construct-specific social assessment: Group memberships</x:v>
      </x:c>
      <x:c r="E77" s="43" t="str">
        <x:v>Self-report / assessment</x:v>
      </x:c>
      <x:c r="F77" s="43" t="str">
        <x:v>Count and diversity of roles or groups; integration index</x:v>
      </x:c>
      <x:c r="G77" s="43" t="str">
        <x:v>Moderate</x:v>
      </x:c>
      <x:c r="H77" s="43" t="str">
        <x:v>Structural integration, received support, perceived support, loneliness, and belonging are related but distinct constructs. Use an explicit social referent, unit of analysis, behavior, setting, and time window.</x:v>
      </x:c>
      <x:c r="I77" s="43" t="str">
        <x:v>SRC222; SRC256; SRC272</x:v>
      </x:c>
    </x:row>
    <x:row r="78" ht="62" customHeight="1">
      <x:c r="A78" s="43" t="str">
        <x:v>OP-SOC-0074</x:v>
      </x:c>
      <x:c r="B78" s="43" t="str">
        <x:v>SOC-025</x:v>
      </x:c>
      <x:c r="C78" s="43" t="str">
        <x:v>Social Integration Breadth</x:v>
      </x:c>
      <x:c r="D78" s="43" t="str">
        <x:v>Observed relational or group indicator: role count</x:v>
      </x:c>
      <x:c r="E78" s="43" t="str">
        <x:v>Behavioral / clinical assessment</x:v>
      </x:c>
      <x:c r="F78" s="43" t="str">
        <x:v>Count and diversity of roles or groups; integration index</x:v>
      </x:c>
      <x:c r="G78" s="43" t="str">
        <x:v>Moderate</x:v>
      </x:c>
      <x:c r="H78" s="43" t="str">
        <x:v>Structural integration, received support, perceived support, loneliness, and belonging are related but distinct constructs. Observation is an indicator and should be triangulated across actors or episodes where feasible.</x:v>
      </x:c>
      <x:c r="I78" s="43" t="str">
        <x:v>SRC222; SRC256; SRC272</x:v>
      </x:c>
    </x:row>
    <x:row r="79" ht="62" customHeight="1">
      <x:c r="A79" s="43" t="str">
        <x:v>OP-SOC-0075</x:v>
      </x:c>
      <x:c r="B79" s="43" t="str">
        <x:v>SOC-025</x:v>
      </x:c>
      <x:c r="C79" s="43" t="str">
        <x:v>Social Integration Breadth</x:v>
      </x:c>
      <x:c r="D79" s="43" t="str">
        <x:v>Administrative, roster, or interaction record: participation diversity</x:v>
      </x:c>
      <x:c r="E79" s="43" t="str">
        <x:v>Administrative / archival</x:v>
      </x:c>
      <x:c r="F79" s="43" t="str">
        <x:v>Count and diversity of roles or groups; integration index</x:v>
      </x:c>
      <x:c r="G79" s="43" t="str">
        <x:v>Moderate</x:v>
      </x:c>
      <x:c r="H79" s="43" t="str">
        <x:v>Structural integration, received support, perceived support, loneliness, and belonging are related but distinct constructs. Coverage, opportunity, missingness, and selection into the recorded setting must be documented.</x:v>
      </x:c>
      <x:c r="I79" s="43" t="str">
        <x:v>SRC222; SRC256; SRC272</x:v>
      </x:c>
    </x:row>
    <x:row r="80" ht="62" customHeight="1">
      <x:c r="A80" s="43" t="str">
        <x:v>OP-SOC-0076</x:v>
      </x:c>
      <x:c r="B80" s="43" t="str">
        <x:v>SOC-026</x:v>
      </x:c>
      <x:c r="C80" s="43" t="str">
        <x:v>Support Provider Availability</x:v>
      </x:c>
      <x:c r="D80" s="43" t="str">
        <x:v>Construct-specific social assessment: Named available helpers</x:v>
      </x:c>
      <x:c r="E80" s="43" t="str">
        <x:v>Self-report / assessment</x:v>
      </x:c>
      <x:c r="F80" s="43" t="str">
        <x:v>Number of available providers; capacity-weighted availability; yes/no by support type</x:v>
      </x:c>
      <x:c r="G80" s="43" t="str">
        <x:v>Moderate</x:v>
      </x:c>
      <x:c r="H80" s="43" t="str">
        <x:v>Structural integration, received support, perceived support, loneliness, and belonging are related but distinct constructs. Use an explicit social referent, unit of analysis, behavior, setting, and time window.</x:v>
      </x:c>
      <x:c r="I80" s="43" t="str">
        <x:v>SRC222; SRC253; SRC264</x:v>
      </x:c>
    </x:row>
    <x:row r="81" ht="62" customHeight="1">
      <x:c r="A81" s="43" t="str">
        <x:v>OP-SOC-0077</x:v>
      </x:c>
      <x:c r="B81" s="43" t="str">
        <x:v>SOC-026</x:v>
      </x:c>
      <x:c r="C81" s="43" t="str">
        <x:v>Support Provider Availability</x:v>
      </x:c>
      <x:c r="D81" s="43" t="str">
        <x:v>Observed relational or group indicator: response capacity</x:v>
      </x:c>
      <x:c r="E81" s="43" t="str">
        <x:v>Behavioral / clinical assessment</x:v>
      </x:c>
      <x:c r="F81" s="43" t="str">
        <x:v>Number of available providers; capacity-weighted availability; yes/no by support type</x:v>
      </x:c>
      <x:c r="G81" s="43" t="str">
        <x:v>Moderate</x:v>
      </x:c>
      <x:c r="H81" s="43" t="str">
        <x:v>Structural integration, received support, perceived support, loneliness, and belonging are related but distinct constructs. Observation is an indicator and should be triangulated across actors or episodes where feasible.</x:v>
      </x:c>
      <x:c r="I81" s="43" t="str">
        <x:v>SRC222; SRC253; SRC264</x:v>
      </x:c>
    </x:row>
    <x:row r="82" ht="62" customHeight="1">
      <x:c r="A82" s="43" t="str">
        <x:v>OP-SOC-0078</x:v>
      </x:c>
      <x:c r="B82" s="43" t="str">
        <x:v>SOC-026</x:v>
      </x:c>
      <x:c r="C82" s="43" t="str">
        <x:v>Support Provider Availability</x:v>
      </x:c>
      <x:c r="D82" s="43" t="str">
        <x:v>Administrative, roster, or interaction record: provider roster by support type</x:v>
      </x:c>
      <x:c r="E82" s="43" t="str">
        <x:v>Administrative / archival</x:v>
      </x:c>
      <x:c r="F82" s="43" t="str">
        <x:v>Number of available providers; capacity-weighted availability; yes/no by support type</x:v>
      </x:c>
      <x:c r="G82" s="43" t="str">
        <x:v>Moderate</x:v>
      </x:c>
      <x:c r="H82" s="43" t="str">
        <x:v>Structural integration, received support, perceived support, loneliness, and belonging are related but distinct constructs. Coverage, opportunity, missingness, and selection into the recorded setting must be documented.</x:v>
      </x:c>
      <x:c r="I82" s="43" t="str">
        <x:v>SRC222; SRC253; SRC264</x:v>
      </x:c>
    </x:row>
    <x:row r="83" ht="62" customHeight="1">
      <x:c r="A83" s="43" t="str">
        <x:v>OP-SOC-0079</x:v>
      </x:c>
      <x:c r="B83" s="43" t="str">
        <x:v>SOC-027</x:v>
      </x:c>
      <x:c r="C83" s="43" t="str">
        <x:v>Received Emotional Support</x:v>
      </x:c>
      <x:c r="D83" s="43" t="str">
        <x:v>Construct-specific social assessment: Comforting interactions</x:v>
      </x:c>
      <x:c r="E83" s="43" t="str">
        <x:v>Self-report / assessment</x:v>
      </x:c>
      <x:c r="F83" s="43" t="str">
        <x:v>Supportive interactions per period; duration or intensity of received emotional aid</x:v>
      </x:c>
      <x:c r="G83" s="43" t="str">
        <x:v>Moderate</x:v>
      </x:c>
      <x:c r="H83" s="43" t="str">
        <x:v>Structural integration, received support, perceived support, loneliness, and belonging are related but distinct constructs. Use an explicit social referent, unit of analysis, behavior, setting, and time window.</x:v>
      </x:c>
      <x:c r="I83" s="43" t="str">
        <x:v>SRC222; SRC253; SRC264</x:v>
      </x:c>
    </x:row>
    <x:row r="84" ht="62" customHeight="1">
      <x:c r="A84" s="43" t="str">
        <x:v>OP-SOC-0080</x:v>
      </x:c>
      <x:c r="B84" s="43" t="str">
        <x:v>SOC-027</x:v>
      </x:c>
      <x:c r="C84" s="43" t="str">
        <x:v>Received Emotional Support</x:v>
      </x:c>
      <x:c r="D84" s="43" t="str">
        <x:v>Observed relational or group indicator: empathic responses</x:v>
      </x:c>
      <x:c r="E84" s="43" t="str">
        <x:v>Behavioral / clinical assessment</x:v>
      </x:c>
      <x:c r="F84" s="43" t="str">
        <x:v>Supportive interactions per period; duration or intensity of received emotional aid</x:v>
      </x:c>
      <x:c r="G84" s="43" t="str">
        <x:v>Moderate</x:v>
      </x:c>
      <x:c r="H84" s="43" t="str">
        <x:v>Structural integration, received support, perceived support, loneliness, and belonging are related but distinct constructs. Observation is an indicator and should be triangulated across actors or episodes where feasible.</x:v>
      </x:c>
      <x:c r="I84" s="43" t="str">
        <x:v>SRC222; SRC253; SRC264</x:v>
      </x:c>
    </x:row>
    <x:row r="85" ht="62" customHeight="1">
      <x:c r="A85" s="43" t="str">
        <x:v>OP-SOC-0081</x:v>
      </x:c>
      <x:c r="B85" s="43" t="str">
        <x:v>SOC-027</x:v>
      </x:c>
      <x:c r="C85" s="43" t="str">
        <x:v>Received Emotional Support</x:v>
      </x:c>
      <x:c r="D85" s="43" t="str">
        <x:v>Administrative, roster, or interaction record: reassurance events</x:v>
      </x:c>
      <x:c r="E85" s="43" t="str">
        <x:v>Administrative / archival</x:v>
      </x:c>
      <x:c r="F85" s="43" t="str">
        <x:v>Supportive interactions per period; duration or intensity of received emotional aid</x:v>
      </x:c>
      <x:c r="G85" s="43" t="str">
        <x:v>Moderate</x:v>
      </x:c>
      <x:c r="H85" s="43" t="str">
        <x:v>Structural integration, received support, perceived support, loneliness, and belonging are related but distinct constructs. Coverage, opportunity, missingness, and selection into the recorded setting must be documented.</x:v>
      </x:c>
      <x:c r="I85" s="43" t="str">
        <x:v>SRC222; SRC253; SRC264</x:v>
      </x:c>
    </x:row>
    <x:row r="86" ht="62" customHeight="1">
      <x:c r="A86" s="43" t="str">
        <x:v>OP-SOC-0082</x:v>
      </x:c>
      <x:c r="B86" s="43" t="str">
        <x:v>SOC-028</x:v>
      </x:c>
      <x:c r="C86" s="43" t="str">
        <x:v>Received Instrumental Support</x:v>
      </x:c>
      <x:c r="D86" s="43" t="str">
        <x:v>Construct-specific social assessment: Help hours</x:v>
      </x:c>
      <x:c r="E86" s="43" t="str">
        <x:v>Self-report / assessment</x:v>
      </x:c>
      <x:c r="F86" s="43" t="str">
        <x:v>Aid events per period; resource amount; hours of assistance</x:v>
      </x:c>
      <x:c r="G86" s="43" t="str">
        <x:v>Moderate</x:v>
      </x:c>
      <x:c r="H86" s="43" t="str">
        <x:v>Structural integration, received support, perceived support, loneliness, and belonging are related but distinct constructs. Use an explicit social referent, unit of analysis, behavior, setting, and time window.</x:v>
      </x:c>
      <x:c r="I86" s="43" t="str">
        <x:v>SRC222; SRC253; SRC264</x:v>
      </x:c>
    </x:row>
    <x:row r="87" ht="62" customHeight="1">
      <x:c r="A87" s="43" t="str">
        <x:v>OP-SOC-0083</x:v>
      </x:c>
      <x:c r="B87" s="43" t="str">
        <x:v>SOC-028</x:v>
      </x:c>
      <x:c r="C87" s="43" t="str">
        <x:v>Received Instrumental Support</x:v>
      </x:c>
      <x:c r="D87" s="43" t="str">
        <x:v>Observed relational or group indicator: goods or funds transferred</x:v>
      </x:c>
      <x:c r="E87" s="43" t="str">
        <x:v>Behavioral / clinical assessment</x:v>
      </x:c>
      <x:c r="F87" s="43" t="str">
        <x:v>Aid events per period; resource amount; hours of assistance</x:v>
      </x:c>
      <x:c r="G87" s="43" t="str">
        <x:v>Moderate</x:v>
      </x:c>
      <x:c r="H87" s="43" t="str">
        <x:v>Structural integration, received support, perceived support, loneliness, and belonging are related but distinct constructs. Observation is an indicator and should be triangulated across actors or episodes where feasible.</x:v>
      </x:c>
      <x:c r="I87" s="43" t="str">
        <x:v>SRC222; SRC253; SRC264</x:v>
      </x:c>
    </x:row>
    <x:row r="88" ht="62" customHeight="1">
      <x:c r="A88" s="43" t="str">
        <x:v>OP-SOC-0084</x:v>
      </x:c>
      <x:c r="B88" s="43" t="str">
        <x:v>SOC-028</x:v>
      </x:c>
      <x:c r="C88" s="43" t="str">
        <x:v>Received Instrumental Support</x:v>
      </x:c>
      <x:c r="D88" s="43" t="str">
        <x:v>Administrative, roster, or interaction record: tasks completed by helpers</x:v>
      </x:c>
      <x:c r="E88" s="43" t="str">
        <x:v>Administrative / archival</x:v>
      </x:c>
      <x:c r="F88" s="43" t="str">
        <x:v>Aid events per period; resource amount; hours of assistance</x:v>
      </x:c>
      <x:c r="G88" s="43" t="str">
        <x:v>Moderate</x:v>
      </x:c>
      <x:c r="H88" s="43" t="str">
        <x:v>Structural integration, received support, perceived support, loneliness, and belonging are related but distinct constructs. Coverage, opportunity, missingness, and selection into the recorded setting must be documented.</x:v>
      </x:c>
      <x:c r="I88" s="43" t="str">
        <x:v>SRC222; SRC253; SRC264</x:v>
      </x:c>
    </x:row>
    <x:row r="89" ht="62" customHeight="1">
      <x:c r="A89" s="43" t="str">
        <x:v>OP-SOC-0085</x:v>
      </x:c>
      <x:c r="B89" s="43" t="str">
        <x:v>SOC-029</x:v>
      </x:c>
      <x:c r="C89" s="43" t="str">
        <x:v>Received Informational Support</x:v>
      </x:c>
      <x:c r="D89" s="43" t="str">
        <x:v>Construct-specific social assessment: Advice messages</x:v>
      </x:c>
      <x:c r="E89" s="43" t="str">
        <x:v>Self-report / assessment</x:v>
      </x:c>
      <x:c r="F89" s="43" t="str">
        <x:v>Advice events per period; number of guidance providers; coded information-support amount</x:v>
      </x:c>
      <x:c r="G89" s="43" t="str">
        <x:v>Moderate</x:v>
      </x:c>
      <x:c r="H89" s="43" t="str">
        <x:v>Structural integration, received support, perceived support, loneliness, and belonging are related but distinct constructs. Use an explicit social referent, unit of analysis, behavior, setting, and time window.</x:v>
      </x:c>
      <x:c r="I89" s="43" t="str">
        <x:v>SRC222; SRC253; SRC254</x:v>
      </x:c>
    </x:row>
    <x:row r="90" ht="62" customHeight="1">
      <x:c r="A90" s="43" t="str">
        <x:v>OP-SOC-0086</x:v>
      </x:c>
      <x:c r="B90" s="43" t="str">
        <x:v>SOC-029</x:v>
      </x:c>
      <x:c r="C90" s="43" t="str">
        <x:v>Received Informational Support</x:v>
      </x:c>
      <x:c r="D90" s="43" t="str">
        <x:v>Observed relational or group indicator: guidance sessions</x:v>
      </x:c>
      <x:c r="E90" s="43" t="str">
        <x:v>Behavioral / clinical assessment</x:v>
      </x:c>
      <x:c r="F90" s="43" t="str">
        <x:v>Advice events per period; number of guidance providers; coded information-support amount</x:v>
      </x:c>
      <x:c r="G90" s="43" t="str">
        <x:v>Moderate</x:v>
      </x:c>
      <x:c r="H90" s="43" t="str">
        <x:v>Structural integration, received support, perceived support, loneliness, and belonging are related but distinct constructs. Observation is an indicator and should be triangulated across actors or episodes where feasible.</x:v>
      </x:c>
      <x:c r="I90" s="43" t="str">
        <x:v>SRC222; SRC253; SRC254</x:v>
      </x:c>
    </x:row>
    <x:row r="91" ht="62" customHeight="1">
      <x:c r="A91" s="43" t="str">
        <x:v>OP-SOC-0087</x:v>
      </x:c>
      <x:c r="B91" s="43" t="str">
        <x:v>SOC-029</x:v>
      </x:c>
      <x:c r="C91" s="43" t="str">
        <x:v>Received Informational Support</x:v>
      </x:c>
      <x:c r="D91" s="43" t="str">
        <x:v>Administrative, roster, or interaction record: referrals</x:v>
      </x:c>
      <x:c r="E91" s="43" t="str">
        <x:v>Administrative / archival</x:v>
      </x:c>
      <x:c r="F91" s="43" t="str">
        <x:v>Advice events per period; number of guidance providers; coded information-support amount</x:v>
      </x:c>
      <x:c r="G91" s="43" t="str">
        <x:v>Moderate</x:v>
      </x:c>
      <x:c r="H91" s="43" t="str">
        <x:v>Structural integration, received support, perceived support, loneliness, and belonging are related but distinct constructs. Coverage, opportunity, missingness, and selection into the recorded setting must be documented.</x:v>
      </x:c>
      <x:c r="I91" s="43" t="str">
        <x:v>SRC222; SRC253; SRC254</x:v>
      </x:c>
    </x:row>
    <x:row r="92" ht="62" customHeight="1">
      <x:c r="A92" s="43" t="str">
        <x:v>OP-SOC-0088</x:v>
      </x:c>
      <x:c r="B92" s="43" t="str">
        <x:v>SOC-030</x:v>
      </x:c>
      <x:c r="C92" s="43" t="str">
        <x:v>Inclusion Event Frequency</x:v>
      </x:c>
      <x:c r="D92" s="43" t="str">
        <x:v>Construct-specific social assessment: Invitations</x:v>
      </x:c>
      <x:c r="E92" s="43" t="str">
        <x:v>Self-report / assessment</x:v>
      </x:c>
      <x:c r="F92" s="43" t="str">
        <x:v>Inclusion events per day, week, or opportunity; inclusion-opportunity ratio</x:v>
      </x:c>
      <x:c r="G92" s="43" t="str">
        <x:v>Moderate</x:v>
      </x:c>
      <x:c r="H92" s="43" t="str">
        <x:v>Structural integration, received support, perceived support, loneliness, and belonging are related but distinct constructs. Use an explicit social referent, unit of analysis, behavior, setting, and time window.</x:v>
      </x:c>
      <x:c r="I92" s="43" t="str">
        <x:v>SRC220; SRC221</x:v>
      </x:c>
    </x:row>
    <x:row r="93" ht="62" customHeight="1">
      <x:c r="A93" s="43" t="str">
        <x:v>OP-SOC-0089</x:v>
      </x:c>
      <x:c r="B93" s="43" t="str">
        <x:v>SOC-030</x:v>
      </x:c>
      <x:c r="C93" s="43" t="str">
        <x:v>Inclusion Event Frequency</x:v>
      </x:c>
      <x:c r="D93" s="43" t="str">
        <x:v>Observed relational or group indicator: turn allocation</x:v>
      </x:c>
      <x:c r="E93" s="43" t="str">
        <x:v>Behavioral / clinical assessment</x:v>
      </x:c>
      <x:c r="F93" s="43" t="str">
        <x:v>Inclusion events per day, week, or opportunity; inclusion-opportunity ratio</x:v>
      </x:c>
      <x:c r="G93" s="43" t="str">
        <x:v>Moderate</x:v>
      </x:c>
      <x:c r="H93" s="43" t="str">
        <x:v>Structural integration, received support, perceived support, loneliness, and belonging are related but distinct constructs. Observation is an indicator and should be triangulated across actors or episodes where feasible.</x:v>
      </x:c>
      <x:c r="I93" s="43" t="str">
        <x:v>SRC220; SRC221</x:v>
      </x:c>
    </x:row>
    <x:row r="94" ht="62" customHeight="1">
      <x:c r="A94" s="43" t="str">
        <x:v>OP-SOC-0090</x:v>
      </x:c>
      <x:c r="B94" s="43" t="str">
        <x:v>SOC-030</x:v>
      </x:c>
      <x:c r="C94" s="43" t="str">
        <x:v>Inclusion Event Frequency</x:v>
      </x:c>
      <x:c r="D94" s="43" t="str">
        <x:v>Administrative, roster, or interaction record: acknowledged contributions</x:v>
      </x:c>
      <x:c r="E94" s="43" t="str">
        <x:v>Administrative / archival</x:v>
      </x:c>
      <x:c r="F94" s="43" t="str">
        <x:v>Inclusion events per day, week, or opportunity; inclusion-opportunity ratio</x:v>
      </x:c>
      <x:c r="G94" s="43" t="str">
        <x:v>Moderate</x:v>
      </x:c>
      <x:c r="H94" s="43" t="str">
        <x:v>Structural integration, received support, perceived support, loneliness, and belonging are related but distinct constructs. Coverage, opportunity, missingness, and selection into the recorded setting must be documented.</x:v>
      </x:c>
      <x:c r="I94" s="43" t="str">
        <x:v>SRC220; SRC221</x:v>
      </x:c>
    </x:row>
    <x:row r="95" ht="62" customHeight="1">
      <x:c r="A95" s="43" t="str">
        <x:v>OP-SOC-0091</x:v>
      </x:c>
      <x:c r="B95" s="43" t="str">
        <x:v>SOC-031</x:v>
      </x:c>
      <x:c r="C95" s="43" t="str">
        <x:v>Ostracism Exposure</x:v>
      </x:c>
      <x:c r="D95" s="43" t="str">
        <x:v>Construct-specific social assessment: Unanswered bids</x:v>
      </x:c>
      <x:c r="E95" s="43" t="str">
        <x:v>Self-report / assessment</x:v>
      </x:c>
      <x:c r="F95" s="43" t="str">
        <x:v>Events per period; excluded-opportunity proportion; episode duration</x:v>
      </x:c>
      <x:c r="G95" s="43" t="str">
        <x:v>Moderate</x:v>
      </x:c>
      <x:c r="H95" s="43" t="str">
        <x:v>Structural integration, received support, perceived support, loneliness, and belonging are related but distinct constructs. Use an explicit social referent, unit of analysis, behavior, setting, and time window.</x:v>
      </x:c>
      <x:c r="I95" s="43" t="str">
        <x:v>SRC220; SRC221</x:v>
      </x:c>
    </x:row>
    <x:row r="96" ht="62" customHeight="1">
      <x:c r="A96" s="43" t="str">
        <x:v>OP-SOC-0092</x:v>
      </x:c>
      <x:c r="B96" s="43" t="str">
        <x:v>SOC-031</x:v>
      </x:c>
      <x:c r="C96" s="43" t="str">
        <x:v>Ostracism Exposure</x:v>
      </x:c>
      <x:c r="D96" s="43" t="str">
        <x:v>Observed relational or group indicator: omitted invitations</x:v>
      </x:c>
      <x:c r="E96" s="43" t="str">
        <x:v>Behavioral / clinical assessment</x:v>
      </x:c>
      <x:c r="F96" s="43" t="str">
        <x:v>Events per period; excluded-opportunity proportion; episode duration</x:v>
      </x:c>
      <x:c r="G96" s="43" t="str">
        <x:v>Moderate</x:v>
      </x:c>
      <x:c r="H96" s="43" t="str">
        <x:v>Structural integration, received support, perceived support, loneliness, and belonging are related but distinct constructs. Observation is an indicator and should be triangulated across actors or episodes where feasible.</x:v>
      </x:c>
      <x:c r="I96" s="43" t="str">
        <x:v>SRC220; SRC221</x:v>
      </x:c>
    </x:row>
    <x:row r="97" ht="62" customHeight="1">
      <x:c r="A97" s="43" t="str">
        <x:v>OP-SOC-0093</x:v>
      </x:c>
      <x:c r="B97" s="43" t="str">
        <x:v>SOC-031</x:v>
      </x:c>
      <x:c r="C97" s="43" t="str">
        <x:v>Ostracism Exposure</x:v>
      </x:c>
      <x:c r="D97" s="43" t="str">
        <x:v>Administrative, roster, or interaction record: ignored turns</x:v>
      </x:c>
      <x:c r="E97" s="43" t="str">
        <x:v>Administrative / archival</x:v>
      </x:c>
      <x:c r="F97" s="43" t="str">
        <x:v>Events per period; excluded-opportunity proportion; episode duration</x:v>
      </x:c>
      <x:c r="G97" s="43" t="str">
        <x:v>Moderate</x:v>
      </x:c>
      <x:c r="H97" s="43" t="str">
        <x:v>Structural integration, received support, perceived support, loneliness, and belonging are related but distinct constructs. Coverage, opportunity, missingness, and selection into the recorded setting must be documented.</x:v>
      </x:c>
      <x:c r="I97" s="43" t="str">
        <x:v>SRC220; SRC221</x:v>
      </x:c>
    </x:row>
    <x:row r="98" ht="62" customHeight="1">
      <x:c r="A98" s="43" t="str">
        <x:v>OP-SOC-0094</x:v>
      </x:c>
      <x:c r="B98" s="43" t="str">
        <x:v>SOC-032</x:v>
      </x:c>
      <x:c r="C98" s="43" t="str">
        <x:v>Social Isolation Degree</x:v>
      </x:c>
      <x:c r="D98" s="43" t="str">
        <x:v>Construct-specific social assessment: Contact scarcity</x:v>
      </x:c>
      <x:c r="E98" s="43" t="str">
        <x:v>Self-report / assessment</x:v>
      </x:c>
      <x:c r="F98" s="43" t="str">
        <x:v>Composite of network size, contact frequency, living arrangement, and participation; low–high isolation</x:v>
      </x:c>
      <x:c r="G98" s="43" t="str">
        <x:v>Moderate</x:v>
      </x:c>
      <x:c r="H98" s="43" t="str">
        <x:v>Structural integration, received support, perceived support, loneliness, and belonging are related but distinct constructs. Use an explicit social referent, unit of analysis, behavior, setting, and time window.</x:v>
      </x:c>
      <x:c r="I98" s="43" t="str">
        <x:v>SRC222; SRC256; SRC272</x:v>
      </x:c>
    </x:row>
    <x:row r="99" ht="62" customHeight="1">
      <x:c r="A99" s="43" t="str">
        <x:v>OP-SOC-0095</x:v>
      </x:c>
      <x:c r="B99" s="43" t="str">
        <x:v>SOC-032</x:v>
      </x:c>
      <x:c r="C99" s="43" t="str">
        <x:v>Social Isolation Degree</x:v>
      </x:c>
      <x:c r="D99" s="43" t="str">
        <x:v>Observed relational or group indicator: network size</x:v>
      </x:c>
      <x:c r="E99" s="43" t="str">
        <x:v>Behavioral / clinical assessment</x:v>
      </x:c>
      <x:c r="F99" s="43" t="str">
        <x:v>Composite of network size, contact frequency, living arrangement, and participation; low–high isolation</x:v>
      </x:c>
      <x:c r="G99" s="43" t="str">
        <x:v>Moderate</x:v>
      </x:c>
      <x:c r="H99" s="43" t="str">
        <x:v>Structural integration, received support, perceived support, loneliness, and belonging are related but distinct constructs. Observation is an indicator and should be triangulated across actors or episodes where feasible.</x:v>
      </x:c>
      <x:c r="I99" s="43" t="str">
        <x:v>SRC222; SRC256; SRC272</x:v>
      </x:c>
    </x:row>
    <x:row r="100" ht="62" customHeight="1">
      <x:c r="A100" s="43" t="str">
        <x:v>OP-SOC-0096</x:v>
      </x:c>
      <x:c r="B100" s="43" t="str">
        <x:v>SOC-032</x:v>
      </x:c>
      <x:c r="C100" s="43" t="str">
        <x:v>Social Isolation Degree</x:v>
      </x:c>
      <x:c r="D100" s="43" t="str">
        <x:v>Administrative, roster, or interaction record: participation frequency</x:v>
      </x:c>
      <x:c r="E100" s="43" t="str">
        <x:v>Administrative / archival</x:v>
      </x:c>
      <x:c r="F100" s="43" t="str">
        <x:v>Composite of network size, contact frequency, living arrangement, and participation; low–high isolation</x:v>
      </x:c>
      <x:c r="G100" s="43" t="str">
        <x:v>Moderate</x:v>
      </x:c>
      <x:c r="H100" s="43" t="str">
        <x:v>Structural integration, received support, perceived support, loneliness, and belonging are related but distinct constructs. Coverage, opportunity, missingness, and selection into the recorded setting must be documented.</x:v>
      </x:c>
      <x:c r="I100" s="43" t="str">
        <x:v>SRC222; SRC256; SRC272</x:v>
      </x:c>
    </x:row>
    <x:row r="101" ht="62" customHeight="1">
      <x:c r="A101" s="43" t="str">
        <x:v>OP-SOC-0097</x:v>
      </x:c>
      <x:c r="B101" s="43" t="str">
        <x:v>SOC-033</x:v>
      </x:c>
      <x:c r="C101" s="43" t="str">
        <x:v>Partner Reliability</x:v>
      </x:c>
      <x:c r="D101" s="43" t="str">
        <x:v>Construct-specific social assessment: Commitment fulfillment</x:v>
      </x:c>
      <x:c r="E101" s="43" t="str">
        <x:v>Self-report / assessment</x:v>
      </x:c>
      <x:c r="F101" s="43" t="str">
        <x:v>0–1 fulfilled commitments; reliable-action rate</x:v>
      </x:c>
      <x:c r="G101" s="43" t="str">
        <x:v>Moderate</x:v>
      </x:c>
      <x:c r="H101" s="43" t="str">
        <x:v>Observed cooperation can reflect incentives, constraint, selection, or reputation rather than a stable cooperative disposition. Use an explicit social referent, unit of analysis, behavior, setting, and time window.</x:v>
      </x:c>
      <x:c r="I101" s="43" t="str">
        <x:v>SRC223; SRC248</x:v>
      </x:c>
    </x:row>
    <x:row r="102" ht="62" customHeight="1">
      <x:c r="A102" s="43" t="str">
        <x:v>OP-SOC-0098</x:v>
      </x:c>
      <x:c r="B102" s="43" t="str">
        <x:v>SOC-033</x:v>
      </x:c>
      <x:c r="C102" s="43" t="str">
        <x:v>Partner Reliability</x:v>
      </x:c>
      <x:c r="D102" s="43" t="str">
        <x:v>Observed relational or group indicator: on-time contribution</x:v>
      </x:c>
      <x:c r="E102" s="43" t="str">
        <x:v>Behavioral / clinical assessment</x:v>
      </x:c>
      <x:c r="F102" s="43" t="str">
        <x:v>0–1 fulfilled commitments; reliable-action rate</x:v>
      </x:c>
      <x:c r="G102" s="43" t="str">
        <x:v>Moderate</x:v>
      </x:c>
      <x:c r="H102" s="43" t="str">
        <x:v>Observed cooperation can reflect incentives, constraint, selection, or reputation rather than a stable cooperative disposition. Observation is an indicator and should be triangulated across actors or episodes where feasible.</x:v>
      </x:c>
      <x:c r="I102" s="43" t="str">
        <x:v>SRC223; SRC248</x:v>
      </x:c>
    </x:row>
    <x:row r="103" ht="62" customHeight="1">
      <x:c r="A103" s="43" t="str">
        <x:v>OP-SOC-0099</x:v>
      </x:c>
      <x:c r="B103" s="43" t="str">
        <x:v>SOC-033</x:v>
      </x:c>
      <x:c r="C103" s="43" t="str">
        <x:v>Partner Reliability</x:v>
      </x:c>
      <x:c r="D103" s="43" t="str">
        <x:v>Administrative, roster, or interaction record: promise keeping</x:v>
      </x:c>
      <x:c r="E103" s="43" t="str">
        <x:v>Administrative / archival</x:v>
      </x:c>
      <x:c r="F103" s="43" t="str">
        <x:v>0–1 fulfilled commitments; reliable-action rate</x:v>
      </x:c>
      <x:c r="G103" s="43" t="str">
        <x:v>Moderate</x:v>
      </x:c>
      <x:c r="H103" s="43" t="str">
        <x:v>Observed cooperation can reflect incentives, constraint, selection, or reputation rather than a stable cooperative disposition. Coverage, opportunity, missingness, and selection into the recorded setting must be documented.</x:v>
      </x:c>
      <x:c r="I103" s="43" t="str">
        <x:v>SRC223; SRC248</x:v>
      </x:c>
    </x:row>
    <x:row r="104" ht="62" customHeight="1">
      <x:c r="A104" s="43" t="str">
        <x:v>OP-SOC-0100</x:v>
      </x:c>
      <x:c r="B104" s="43" t="str">
        <x:v>SOC-034</x:v>
      </x:c>
      <x:c r="C104" s="43" t="str">
        <x:v>Cooperation Prevalence</x:v>
      </x:c>
      <x:c r="D104" s="43" t="str">
        <x:v>Construct-specific social assessment: Cooperative choices</x:v>
      </x:c>
      <x:c r="E104" s="43" t="str">
        <x:v>Self-report / assessment</x:v>
      </x:c>
      <x:c r="F104" s="43" t="str">
        <x:v>0–1 cooperative choices; contributors per opportunity; contribution-rate distribution</x:v>
      </x:c>
      <x:c r="G104" s="43" t="str">
        <x:v>Moderate</x:v>
      </x:c>
      <x:c r="H104" s="43" t="str">
        <x:v>Observed cooperation can reflect incentives, constraint, selection, or reputation rather than a stable cooperative disposition. Use an explicit social referent, unit of analysis, behavior, setting, and time window.</x:v>
      </x:c>
      <x:c r="I104" s="43" t="str">
        <x:v>SRC223; SRC225; SRC226</x:v>
      </x:c>
    </x:row>
    <x:row r="105" ht="62" customHeight="1">
      <x:c r="A105" s="43" t="str">
        <x:v>OP-SOC-0101</x:v>
      </x:c>
      <x:c r="B105" s="43" t="str">
        <x:v>SOC-034</x:v>
      </x:c>
      <x:c r="C105" s="43" t="str">
        <x:v>Cooperation Prevalence</x:v>
      </x:c>
      <x:c r="D105" s="43" t="str">
        <x:v>Observed relational or group indicator: public-good contributions</x:v>
      </x:c>
      <x:c r="E105" s="43" t="str">
        <x:v>Behavioral / clinical assessment</x:v>
      </x:c>
      <x:c r="F105" s="43" t="str">
        <x:v>0–1 cooperative choices; contributors per opportunity; contribution-rate distribution</x:v>
      </x:c>
      <x:c r="G105" s="43" t="str">
        <x:v>Moderate</x:v>
      </x:c>
      <x:c r="H105" s="43" t="str">
        <x:v>Observed cooperation can reflect incentives, constraint, selection, or reputation rather than a stable cooperative disposition. Observation is an indicator and should be triangulated across actors or episodes where feasible.</x:v>
      </x:c>
      <x:c r="I105" s="43" t="str">
        <x:v>SRC223; SRC225; SRC226</x:v>
      </x:c>
    </x:row>
    <x:row r="106" ht="62" customHeight="1">
      <x:c r="A106" s="43" t="str">
        <x:v>OP-SOC-0102</x:v>
      </x:c>
      <x:c r="B106" s="43" t="str">
        <x:v>SOC-034</x:v>
      </x:c>
      <x:c r="C106" s="43" t="str">
        <x:v>Cooperation Prevalence</x:v>
      </x:c>
      <x:c r="D106" s="43" t="str">
        <x:v>Administrative, roster, or interaction record: helping or sharing rate</x:v>
      </x:c>
      <x:c r="E106" s="43" t="str">
        <x:v>Administrative / archival</x:v>
      </x:c>
      <x:c r="F106" s="43" t="str">
        <x:v>0–1 cooperative choices; contributors per opportunity; contribution-rate distribution</x:v>
      </x:c>
      <x:c r="G106" s="43" t="str">
        <x:v>Moderate</x:v>
      </x:c>
      <x:c r="H106" s="43" t="str">
        <x:v>Observed cooperation can reflect incentives, constraint, selection, or reputation rather than a stable cooperative disposition. Coverage, opportunity, missingness, and selection into the recorded setting must be documented.</x:v>
      </x:c>
      <x:c r="I106" s="43" t="str">
        <x:v>SRC223; SRC225; SRC226</x:v>
      </x:c>
    </x:row>
    <x:row r="107" ht="62" customHeight="1">
      <x:c r="A107" s="43" t="str">
        <x:v>OP-SOC-0103</x:v>
      </x:c>
      <x:c r="B107" s="43" t="str">
        <x:v>SOC-035</x:v>
      </x:c>
      <x:c r="C107" s="43" t="str">
        <x:v>Reciprocity Balance</x:v>
      </x:c>
      <x:c r="D107" s="43" t="str">
        <x:v>Construct-specific social assessment: Value or count of resources given minus received</x:v>
      </x:c>
      <x:c r="E107" s="43" t="str">
        <x:v>Self-report / assessment</x:v>
      </x:c>
      <x:c r="F107" s="43" t="str">
        <x:v>Negative = net receiving; zero = balanced; positive = net giving</x:v>
      </x:c>
      <x:c r="G107" s="43" t="str">
        <x:v>Moderate</x:v>
      </x:c>
      <x:c r="H107" s="43" t="str">
        <x:v>Observed cooperation can reflect incentives, constraint, selection, or reputation rather than a stable cooperative disposition. Use an explicit social referent, unit of analysis, behavior, setting, and time window.</x:v>
      </x:c>
      <x:c r="I107" s="43" t="str">
        <x:v>SRC224; SRC248</x:v>
      </x:c>
    </x:row>
    <x:row r="108" ht="62" customHeight="1">
      <x:c r="A108" s="43" t="str">
        <x:v>OP-SOC-0104</x:v>
      </x:c>
      <x:c r="B108" s="43" t="str">
        <x:v>SOC-035</x:v>
      </x:c>
      <x:c r="C108" s="43" t="str">
        <x:v>Reciprocity Balance</x:v>
      </x:c>
      <x:c r="D108" s="43" t="str">
        <x:v>Observed relational or group indicator: reciprocal exchange ledger</x:v>
      </x:c>
      <x:c r="E108" s="43" t="str">
        <x:v>Behavioral / clinical assessment</x:v>
      </x:c>
      <x:c r="F108" s="43" t="str">
        <x:v>Negative = net receiving; zero = balanced; positive = net giving</x:v>
      </x:c>
      <x:c r="G108" s="43" t="str">
        <x:v>Moderate</x:v>
      </x:c>
      <x:c r="H108" s="43" t="str">
        <x:v>Observed cooperation can reflect incentives, constraint, selection, or reputation rather than a stable cooperative disposition. Observation is an indicator and should be triangulated across actors or episodes where feasible.</x:v>
      </x:c>
      <x:c r="I108" s="43" t="str">
        <x:v>SRC224; SRC248</x:v>
      </x:c>
    </x:row>
    <x:row r="109" ht="62" customHeight="1">
      <x:c r="A109" s="43" t="str">
        <x:v>OP-SOC-0105</x:v>
      </x:c>
      <x:c r="B109" s="43" t="str">
        <x:v>SOC-035</x:v>
      </x:c>
      <x:c r="C109" s="43" t="str">
        <x:v>Reciprocity Balance</x:v>
      </x:c>
      <x:c r="D109" s="43" t="str">
        <x:v>Administrative, roster, or interaction record: Value or count of resources given minus received</x:v>
      </x:c>
      <x:c r="E109" s="43" t="str">
        <x:v>Administrative / archival</x:v>
      </x:c>
      <x:c r="F109" s="43" t="str">
        <x:v>Negative = net receiving; zero = balanced; positive = net giving</x:v>
      </x:c>
      <x:c r="G109" s="43" t="str">
        <x:v>Moderate</x:v>
      </x:c>
      <x:c r="H109" s="43" t="str">
        <x:v>Observed cooperation can reflect incentives, constraint, selection, or reputation rather than a stable cooperative disposition. Coverage, opportunity, missingness, and selection into the recorded setting must be documented.</x:v>
      </x:c>
      <x:c r="I109" s="43" t="str">
        <x:v>SRC224; SRC248</x:v>
      </x:c>
    </x:row>
    <x:row r="110" ht="62" customHeight="1">
      <x:c r="A110" s="43" t="str">
        <x:v>OP-SOC-0106</x:v>
      </x:c>
      <x:c r="B110" s="43" t="str">
        <x:v>SOC-036</x:v>
      </x:c>
      <x:c r="C110" s="43" t="str">
        <x:v>Repeated Interaction Probability</x:v>
      </x:c>
      <x:c r="D110" s="43" t="str">
        <x:v>Construct-specific social assessment: Scheduled future contact</x:v>
      </x:c>
      <x:c r="E110" s="43" t="str">
        <x:v>Self-report / assessment</x:v>
      </x:c>
      <x:c r="F110" s="43" t="str">
        <x:v>0–1 estimated or design-based probability of future interaction</x:v>
      </x:c>
      <x:c r="G110" s="43" t="str">
        <x:v>Moderate</x:v>
      </x:c>
      <x:c r="H110" s="43" t="str">
        <x:v>Observed cooperation can reflect incentives, constraint, selection, or reputation rather than a stable cooperative disposition. Use an explicit social referent, unit of analysis, behavior, setting, and time window.</x:v>
      </x:c>
      <x:c r="I110" s="43" t="str">
        <x:v>SRC223; SRC224; SRC248</x:v>
      </x:c>
    </x:row>
    <x:row r="111" ht="62" customHeight="1">
      <x:c r="A111" s="43" t="str">
        <x:v>OP-SOC-0107</x:v>
      </x:c>
      <x:c r="B111" s="43" t="str">
        <x:v>SOC-036</x:v>
      </x:c>
      <x:c r="C111" s="43" t="str">
        <x:v>Repeated Interaction Probability</x:v>
      </x:c>
      <x:c r="D111" s="43" t="str">
        <x:v>Observed relational or group indicator: observed return rate</x:v>
      </x:c>
      <x:c r="E111" s="43" t="str">
        <x:v>Behavioral / clinical assessment</x:v>
      </x:c>
      <x:c r="F111" s="43" t="str">
        <x:v>0–1 estimated or design-based probability of future interaction</x:v>
      </x:c>
      <x:c r="G111" s="43" t="str">
        <x:v>Moderate</x:v>
      </x:c>
      <x:c r="H111" s="43" t="str">
        <x:v>Observed cooperation can reflect incentives, constraint, selection, or reputation rather than a stable cooperative disposition. Observation is an indicator and should be triangulated across actors or episodes where feasible.</x:v>
      </x:c>
      <x:c r="I111" s="43" t="str">
        <x:v>SRC223; SRC224; SRC248</x:v>
      </x:c>
    </x:row>
    <x:row r="112" ht="62" customHeight="1">
      <x:c r="A112" s="43" t="str">
        <x:v>OP-SOC-0108</x:v>
      </x:c>
      <x:c r="B112" s="43" t="str">
        <x:v>SOC-036</x:v>
      </x:c>
      <x:c r="C112" s="43" t="str">
        <x:v>Repeated Interaction Probability</x:v>
      </x:c>
      <x:c r="D112" s="43" t="str">
        <x:v>Administrative, roster, or interaction record: relationship continuation probability</x:v>
      </x:c>
      <x:c r="E112" s="43" t="str">
        <x:v>Administrative / archival</x:v>
      </x:c>
      <x:c r="F112" s="43" t="str">
        <x:v>0–1 estimated or design-based probability of future interaction</x:v>
      </x:c>
      <x:c r="G112" s="43" t="str">
        <x:v>Moderate</x:v>
      </x:c>
      <x:c r="H112" s="43" t="str">
        <x:v>Observed cooperation can reflect incentives, constraint, selection, or reputation rather than a stable cooperative disposition. Coverage, opportunity, missingness, and selection into the recorded setting must be documented.</x:v>
      </x:c>
      <x:c r="I112" s="43" t="str">
        <x:v>SRC223; SRC224; SRC248</x:v>
      </x:c>
    </x:row>
    <x:row r="113" ht="62" customHeight="1">
      <x:c r="A113" s="43" t="str">
        <x:v>OP-SOC-0109</x:v>
      </x:c>
      <x:c r="B113" s="43" t="str">
        <x:v>SOC-037</x:v>
      </x:c>
      <x:c r="C113" s="43" t="str">
        <x:v>Mutual Aid Frequency</x:v>
      </x:c>
      <x:c r="D113" s="43" t="str">
        <x:v>Construct-specific social assessment: Help events</x:v>
      </x:c>
      <x:c r="E113" s="43" t="str">
        <x:v>Self-report / assessment</x:v>
      </x:c>
      <x:c r="F113" s="43" t="str">
        <x:v>Aid exchanges per week, month, or need opportunity</x:v>
      </x:c>
      <x:c r="G113" s="43" t="str">
        <x:v>Moderate</x:v>
      </x:c>
      <x:c r="H113" s="43" t="str">
        <x:v>Observed cooperation can reflect incentives, constraint, selection, or reputation rather than a stable cooperative disposition. Use an explicit social referent, unit of analysis, behavior, setting, and time window.</x:v>
      </x:c>
      <x:c r="I113" s="43" t="str">
        <x:v>SRC222; SRC224; SRC248</x:v>
      </x:c>
    </x:row>
    <x:row r="114" ht="62" customHeight="1">
      <x:c r="A114" s="43" t="str">
        <x:v>OP-SOC-0110</x:v>
      </x:c>
      <x:c r="B114" s="43" t="str">
        <x:v>SOC-037</x:v>
      </x:c>
      <x:c r="C114" s="43" t="str">
        <x:v>Mutual Aid Frequency</x:v>
      </x:c>
      <x:c r="D114" s="43" t="str">
        <x:v>Observed relational or group indicator: caregiving exchanges</x:v>
      </x:c>
      <x:c r="E114" s="43" t="str">
        <x:v>Behavioral / clinical assessment</x:v>
      </x:c>
      <x:c r="F114" s="43" t="str">
        <x:v>Aid exchanges per week, month, or need opportunity</x:v>
      </x:c>
      <x:c r="G114" s="43" t="str">
        <x:v>Moderate</x:v>
      </x:c>
      <x:c r="H114" s="43" t="str">
        <x:v>Observed cooperation can reflect incentives, constraint, selection, or reputation rather than a stable cooperative disposition. Observation is an indicator and should be triangulated across actors or episodes where feasible.</x:v>
      </x:c>
      <x:c r="I114" s="43" t="str">
        <x:v>SRC222; SRC224; SRC248</x:v>
      </x:c>
    </x:row>
    <x:row r="115" ht="62" customHeight="1">
      <x:c r="A115" s="43" t="str">
        <x:v>OP-SOC-0111</x:v>
      </x:c>
      <x:c r="B115" s="43" t="str">
        <x:v>SOC-037</x:v>
      </x:c>
      <x:c r="C115" s="43" t="str">
        <x:v>Mutual Aid Frequency</x:v>
      </x:c>
      <x:c r="D115" s="43" t="str">
        <x:v>Administrative, roster, or interaction record: task assistance</x:v>
      </x:c>
      <x:c r="E115" s="43" t="str">
        <x:v>Administrative / archival</x:v>
      </x:c>
      <x:c r="F115" s="43" t="str">
        <x:v>Aid exchanges per week, month, or need opportunity</x:v>
      </x:c>
      <x:c r="G115" s="43" t="str">
        <x:v>Moderate</x:v>
      </x:c>
      <x:c r="H115" s="43" t="str">
        <x:v>Observed cooperation can reflect incentives, constraint, selection, or reputation rather than a stable cooperative disposition. Coverage, opportunity, missingness, and selection into the recorded setting must be documented.</x:v>
      </x:c>
      <x:c r="I115" s="43" t="str">
        <x:v>SRC222; SRC224; SRC248</x:v>
      </x:c>
    </x:row>
    <x:row r="116" ht="62" customHeight="1">
      <x:c r="A116" s="43" t="str">
        <x:v>OP-SOC-0112</x:v>
      </x:c>
      <x:c r="B116" s="43" t="str">
        <x:v>SOC-038</x:v>
      </x:c>
      <x:c r="C116" s="43" t="str">
        <x:v>Resource-Sharing Rate</x:v>
      </x:c>
      <x:c r="D116" s="43" t="str">
        <x:v>Construct-specific social assessment: Funds, goods, data, space, or time shared</x:v>
      </x:c>
      <x:c r="E116" s="43" t="str">
        <x:v>Self-report / assessment</x:v>
      </x:c>
      <x:c r="F116" s="43" t="str">
        <x:v>Resource units per period; proportion of endowment shared; pooled contribution rate</x:v>
      </x:c>
      <x:c r="G116" s="43" t="str">
        <x:v>Moderate</x:v>
      </x:c>
      <x:c r="H116" s="43" t="str">
        <x:v>Observed cooperation can reflect incentives, constraint, selection, or reputation rather than a stable cooperative disposition. Use an explicit social referent, unit of analysis, behavior, setting, and time window.</x:v>
      </x:c>
      <x:c r="I116" s="43" t="str">
        <x:v>SRC224; SRC225; SRC248</x:v>
      </x:c>
    </x:row>
    <x:row r="117" ht="62" customHeight="1">
      <x:c r="A117" s="43" t="str">
        <x:v>OP-SOC-0113</x:v>
      </x:c>
      <x:c r="B117" s="43" t="str">
        <x:v>SOC-038</x:v>
      </x:c>
      <x:c r="C117" s="43" t="str">
        <x:v>Resource-Sharing Rate</x:v>
      </x:c>
      <x:c r="D117" s="43" t="str">
        <x:v>Observed relational or group indicator: contribution records</x:v>
      </x:c>
      <x:c r="E117" s="43" t="str">
        <x:v>Behavioral / clinical assessment</x:v>
      </x:c>
      <x:c r="F117" s="43" t="str">
        <x:v>Resource units per period; proportion of endowment shared; pooled contribution rate</x:v>
      </x:c>
      <x:c r="G117" s="43" t="str">
        <x:v>Moderate</x:v>
      </x:c>
      <x:c r="H117" s="43" t="str">
        <x:v>Observed cooperation can reflect incentives, constraint, selection, or reputation rather than a stable cooperative disposition. Observation is an indicator and should be triangulated across actors or episodes where feasible.</x:v>
      </x:c>
      <x:c r="I117" s="43" t="str">
        <x:v>SRC224; SRC225; SRC248</x:v>
      </x:c>
    </x:row>
    <x:row r="118" ht="62" customHeight="1">
      <x:c r="A118" s="43" t="str">
        <x:v>OP-SOC-0114</x:v>
      </x:c>
      <x:c r="B118" s="43" t="str">
        <x:v>SOC-038</x:v>
      </x:c>
      <x:c r="C118" s="43" t="str">
        <x:v>Resource-Sharing Rate</x:v>
      </x:c>
      <x:c r="D118" s="43" t="str">
        <x:v>Administrative, roster, or interaction record: Funds, goods, data, space, or time shared</x:v>
      </x:c>
      <x:c r="E118" s="43" t="str">
        <x:v>Administrative / archival</x:v>
      </x:c>
      <x:c r="F118" s="43" t="str">
        <x:v>Resource units per period; proportion of endowment shared; pooled contribution rate</x:v>
      </x:c>
      <x:c r="G118" s="43" t="str">
        <x:v>Moderate</x:v>
      </x:c>
      <x:c r="H118" s="43" t="str">
        <x:v>Observed cooperation can reflect incentives, constraint, selection, or reputation rather than a stable cooperative disposition. Coverage, opportunity, missingness, and selection into the recorded setting must be documented.</x:v>
      </x:c>
      <x:c r="I118" s="43" t="str">
        <x:v>SRC224; SRC225; SRC248</x:v>
      </x:c>
    </x:row>
    <x:row r="119" ht="62" customHeight="1">
      <x:c r="A119" s="43" t="str">
        <x:v>OP-SOC-0115</x:v>
      </x:c>
      <x:c r="B119" s="43" t="str">
        <x:v>SOC-039</x:v>
      </x:c>
      <x:c r="C119" s="43" t="str">
        <x:v>Free-Riding Prevalence</x:v>
      </x:c>
      <x:c r="D119" s="43" t="str">
        <x:v>Construct-specific social assessment: Contribution shortfall</x:v>
      </x:c>
      <x:c r="E119" s="43" t="str">
        <x:v>Self-report / assessment</x:v>
      </x:c>
      <x:c r="F119" s="43" t="str">
        <x:v>0–1 free-rider proportion; noncontribution-opportunity rate</x:v>
      </x:c>
      <x:c r="G119" s="43" t="str">
        <x:v>Moderate</x:v>
      </x:c>
      <x:c r="H119" s="43" t="str">
        <x:v>Observed cooperation can reflect incentives, constraint, selection, or reputation rather than a stable cooperative disposition. Use an explicit social referent, unit of analysis, behavior, setting, and time window.</x:v>
      </x:c>
      <x:c r="I119" s="43" t="str">
        <x:v>SRC225; SRC226; SRC240</x:v>
      </x:c>
    </x:row>
    <x:row r="120" ht="62" customHeight="1">
      <x:c r="A120" s="43" t="str">
        <x:v>OP-SOC-0116</x:v>
      </x:c>
      <x:c r="B120" s="43" t="str">
        <x:v>SOC-039</x:v>
      </x:c>
      <x:c r="C120" s="43" t="str">
        <x:v>Free-Riding Prevalence</x:v>
      </x:c>
      <x:c r="D120" s="43" t="str">
        <x:v>Observed relational or group indicator: noncontributor count</x:v>
      </x:c>
      <x:c r="E120" s="43" t="str">
        <x:v>Behavioral / clinical assessment</x:v>
      </x:c>
      <x:c r="F120" s="43" t="str">
        <x:v>0–1 free-rider proportion; noncontribution-opportunity rate</x:v>
      </x:c>
      <x:c r="G120" s="43" t="str">
        <x:v>Moderate</x:v>
      </x:c>
      <x:c r="H120" s="43" t="str">
        <x:v>Observed cooperation can reflect incentives, constraint, selection, or reputation rather than a stable cooperative disposition. Observation is an indicator and should be triangulated across actors or episodes where feasible.</x:v>
      </x:c>
      <x:c r="I120" s="43" t="str">
        <x:v>SRC225; SRC226; SRC240</x:v>
      </x:c>
    </x:row>
    <x:row r="121" ht="62" customHeight="1">
      <x:c r="A121" s="43" t="str">
        <x:v>OP-SOC-0117</x:v>
      </x:c>
      <x:c r="B121" s="43" t="str">
        <x:v>SOC-039</x:v>
      </x:c>
      <x:c r="C121" s="43" t="str">
        <x:v>Free-Riding Prevalence</x:v>
      </x:c>
      <x:c r="D121" s="43" t="str">
        <x:v>Administrative, roster, or interaction record: benefit-without-contribution events</x:v>
      </x:c>
      <x:c r="E121" s="43" t="str">
        <x:v>Administrative / archival</x:v>
      </x:c>
      <x:c r="F121" s="43" t="str">
        <x:v>0–1 free-rider proportion; noncontribution-opportunity rate</x:v>
      </x:c>
      <x:c r="G121" s="43" t="str">
        <x:v>Moderate</x:v>
      </x:c>
      <x:c r="H121" s="43" t="str">
        <x:v>Observed cooperation can reflect incentives, constraint, selection, or reputation rather than a stable cooperative disposition. Coverage, opportunity, missingness, and selection into the recorded setting must be documented.</x:v>
      </x:c>
      <x:c r="I121" s="43" t="str">
        <x:v>SRC225; SRC226; SRC240</x:v>
      </x:c>
    </x:row>
    <x:row r="122" ht="62" customHeight="1">
      <x:c r="A122" s="43" t="str">
        <x:v>OP-SOC-0118</x:v>
      </x:c>
      <x:c r="B122" s="43" t="str">
        <x:v>SOC-040</x:v>
      </x:c>
      <x:c r="C122" s="43" t="str">
        <x:v>Status Rank</x:v>
      </x:c>
      <x:c r="D122" s="43" t="str">
        <x:v>Construct-specific social assessment: Sociometric nominations</x:v>
      </x:c>
      <x:c r="E122" s="43" t="str">
        <x:v>Self-report / assessment</x:v>
      </x:c>
      <x:c r="F122" s="43" t="str">
        <x:v>Ordered rank; percentile; sociometric status category</x:v>
      </x:c>
      <x:c r="G122" s="43" t="str">
        <x:v>Moderate</x:v>
      </x:c>
      <x:c r="H122" s="43" t="str">
        <x:v>Power, status, reputation, authority, and centrality are distinct; rankings are relation- and domain-specific. Use an explicit social referent, unit of analysis, behavior, setting, and time window.</x:v>
      </x:c>
      <x:c r="I122" s="43" t="str">
        <x:v>SRC227; SRC228; SRC258</x:v>
      </x:c>
    </x:row>
    <x:row r="123" ht="62" customHeight="1">
      <x:c r="A123" s="43" t="str">
        <x:v>OP-SOC-0119</x:v>
      </x:c>
      <x:c r="B123" s="43" t="str">
        <x:v>SOC-040</x:v>
      </x:c>
      <x:c r="C123" s="43" t="str">
        <x:v>Status Rank</x:v>
      </x:c>
      <x:c r="D123" s="43" t="str">
        <x:v>Observed relational or group indicator: deference patterns</x:v>
      </x:c>
      <x:c r="E123" s="43" t="str">
        <x:v>Behavioral / clinical assessment</x:v>
      </x:c>
      <x:c r="F123" s="43" t="str">
        <x:v>Ordered rank; percentile; sociometric status category</x:v>
      </x:c>
      <x:c r="G123" s="43" t="str">
        <x:v>Moderate</x:v>
      </x:c>
      <x:c r="H123" s="43" t="str">
        <x:v>Power, status, reputation, authority, and centrality are distinct; rankings are relation- and domain-specific. Observation is an indicator and should be triangulated across actors or episodes where feasible.</x:v>
      </x:c>
      <x:c r="I123" s="43" t="str">
        <x:v>SRC227; SRC228; SRC258</x:v>
      </x:c>
    </x:row>
    <x:row r="124" ht="62" customHeight="1">
      <x:c r="A124" s="43" t="str">
        <x:v>OP-SOC-0120</x:v>
      </x:c>
      <x:c r="B124" s="43" t="str">
        <x:v>SOC-040</x:v>
      </x:c>
      <x:c r="C124" s="43" t="str">
        <x:v>Status Rank</x:v>
      </x:c>
      <x:c r="D124" s="43" t="str">
        <x:v>Administrative, roster, or interaction record: prestige ranking</x:v>
      </x:c>
      <x:c r="E124" s="43" t="str">
        <x:v>Administrative / archival</x:v>
      </x:c>
      <x:c r="F124" s="43" t="str">
        <x:v>Ordered rank; percentile; sociometric status category</x:v>
      </x:c>
      <x:c r="G124" s="43" t="str">
        <x:v>Moderate</x:v>
      </x:c>
      <x:c r="H124" s="43" t="str">
        <x:v>Power, status, reputation, authority, and centrality are distinct; rankings are relation- and domain-specific. Coverage, opportunity, missingness, and selection into the recorded setting must be documented.</x:v>
      </x:c>
      <x:c r="I124" s="43" t="str">
        <x:v>SRC227; SRC228; SRC258</x:v>
      </x:c>
    </x:row>
    <x:row r="125" ht="62" customHeight="1">
      <x:c r="A125" s="43" t="str">
        <x:v>OP-SOC-0121</x:v>
      </x:c>
      <x:c r="B125" s="43" t="str">
        <x:v>SOC-041</x:v>
      </x:c>
      <x:c r="C125" s="43" t="str">
        <x:v>Status Hierarchy Steepness</x:v>
      </x:c>
      <x:c r="D125" s="43" t="str">
        <x:v>Construct-specific social assessment: Status-score variance</x:v>
      </x:c>
      <x:c r="E125" s="43" t="str">
        <x:v>Self-report / assessment</x:v>
      </x:c>
      <x:c r="F125" s="43" t="str">
        <x:v>Rank-score dispersion; top-to-bottom gap; low–high hierarchy steepness</x:v>
      </x:c>
      <x:c r="G125" s="43" t="str">
        <x:v>Moderate</x:v>
      </x:c>
      <x:c r="H125" s="43" t="str">
        <x:v>Power, status, reputation, authority, and centrality are distinct; rankings are relation- and domain-specific. Use an explicit social referent, unit of analysis, behavior, setting, and time window.</x:v>
      </x:c>
      <x:c r="I125" s="43" t="str">
        <x:v>SRC228; SRC258</x:v>
      </x:c>
    </x:row>
    <x:row r="126" ht="62" customHeight="1">
      <x:c r="A126" s="43" t="str">
        <x:v>OP-SOC-0122</x:v>
      </x:c>
      <x:c r="B126" s="43" t="str">
        <x:v>SOC-041</x:v>
      </x:c>
      <x:c r="C126" s="43" t="str">
        <x:v>Status Hierarchy Steepness</x:v>
      </x:c>
      <x:c r="D126" s="43" t="str">
        <x:v>Observed relational or group indicator: deference concentration</x:v>
      </x:c>
      <x:c r="E126" s="43" t="str">
        <x:v>Behavioral / clinical assessment</x:v>
      </x:c>
      <x:c r="F126" s="43" t="str">
        <x:v>Rank-score dispersion; top-to-bottom gap; low–high hierarchy steepness</x:v>
      </x:c>
      <x:c r="G126" s="43" t="str">
        <x:v>Moderate</x:v>
      </x:c>
      <x:c r="H126" s="43" t="str">
        <x:v>Power, status, reputation, authority, and centrality are distinct; rankings are relation- and domain-specific. Observation is an indicator and should be triangulated across actors or episodes where feasible.</x:v>
      </x:c>
      <x:c r="I126" s="43" t="str">
        <x:v>SRC228; SRC258</x:v>
      </x:c>
    </x:row>
    <x:row r="127" ht="62" customHeight="1">
      <x:c r="A127" s="43" t="str">
        <x:v>OP-SOC-0123</x:v>
      </x:c>
      <x:c r="B127" s="43" t="str">
        <x:v>SOC-041</x:v>
      </x:c>
      <x:c r="C127" s="43" t="str">
        <x:v>Status Hierarchy Steepness</x:v>
      </x:c>
      <x:c r="D127" s="43" t="str">
        <x:v>Administrative, roster, or interaction record: rank gap</x:v>
      </x:c>
      <x:c r="E127" s="43" t="str">
        <x:v>Administrative / archival</x:v>
      </x:c>
      <x:c r="F127" s="43" t="str">
        <x:v>Rank-score dispersion; top-to-bottom gap; low–high hierarchy steepness</x:v>
      </x:c>
      <x:c r="G127" s="43" t="str">
        <x:v>Moderate</x:v>
      </x:c>
      <x:c r="H127" s="43" t="str">
        <x:v>Power, status, reputation, authority, and centrality are distinct; rankings are relation- and domain-specific. Coverage, opportunity, missingness, and selection into the recorded setting must be documented.</x:v>
      </x:c>
      <x:c r="I127" s="43" t="str">
        <x:v>SRC228; SRC258</x:v>
      </x:c>
    </x:row>
    <x:row r="128" ht="62" customHeight="1">
      <x:c r="A128" s="43" t="str">
        <x:v>OP-SOC-0124</x:v>
      </x:c>
      <x:c r="B128" s="43" t="str">
        <x:v>SOC-042</x:v>
      </x:c>
      <x:c r="C128" s="43" t="str">
        <x:v>Status Mobility Rate</x:v>
      </x:c>
      <x:c r="D128" s="43" t="str">
        <x:v>Construct-specific social assessment: Rank transitions</x:v>
      </x:c>
      <x:c r="E128" s="43" t="str">
        <x:v>Self-report / assessment</x:v>
      </x:c>
      <x:c r="F128" s="43" t="str">
        <x:v>Rank changes per period; transition probability; mobility index</x:v>
      </x:c>
      <x:c r="G128" s="43" t="str">
        <x:v>Moderate</x:v>
      </x:c>
      <x:c r="H128" s="43" t="str">
        <x:v>Power, status, reputation, authority, and centrality are distinct; rankings are relation- and domain-specific. Use an explicit social referent, unit of analysis, behavior, setting, and time window.</x:v>
      </x:c>
      <x:c r="I128" s="43" t="str">
        <x:v>SRC227; SRC228; SRC258</x:v>
      </x:c>
    </x:row>
    <x:row r="129" ht="62" customHeight="1">
      <x:c r="A129" s="43" t="str">
        <x:v>OP-SOC-0125</x:v>
      </x:c>
      <x:c r="B129" s="43" t="str">
        <x:v>SOC-042</x:v>
      </x:c>
      <x:c r="C129" s="43" t="str">
        <x:v>Status Mobility Rate</x:v>
      </x:c>
      <x:c r="D129" s="43" t="str">
        <x:v>Observed relational or group indicator: promotion or demotion events</x:v>
      </x:c>
      <x:c r="E129" s="43" t="str">
        <x:v>Behavioral / clinical assessment</x:v>
      </x:c>
      <x:c r="F129" s="43" t="str">
        <x:v>Rank changes per period; transition probability; mobility index</x:v>
      </x:c>
      <x:c r="G129" s="43" t="str">
        <x:v>Moderate</x:v>
      </x:c>
      <x:c r="H129" s="43" t="str">
        <x:v>Power, status, reputation, authority, and centrality are distinct; rankings are relation- and domain-specific. Observation is an indicator and should be triangulated across actors or episodes where feasible.</x:v>
      </x:c>
      <x:c r="I129" s="43" t="str">
        <x:v>SRC227; SRC228; SRC258</x:v>
      </x:c>
    </x:row>
    <x:row r="130" ht="62" customHeight="1">
      <x:c r="A130" s="43" t="str">
        <x:v>OP-SOC-0126</x:v>
      </x:c>
      <x:c r="B130" s="43" t="str">
        <x:v>SOC-042</x:v>
      </x:c>
      <x:c r="C130" s="43" t="str">
        <x:v>Status Mobility Rate</x:v>
      </x:c>
      <x:c r="D130" s="43" t="str">
        <x:v>Administrative, roster, or interaction record: mobility matrix</x:v>
      </x:c>
      <x:c r="E130" s="43" t="str">
        <x:v>Administrative / archival</x:v>
      </x:c>
      <x:c r="F130" s="43" t="str">
        <x:v>Rank changes per period; transition probability; mobility index</x:v>
      </x:c>
      <x:c r="G130" s="43" t="str">
        <x:v>Moderate</x:v>
      </x:c>
      <x:c r="H130" s="43" t="str">
        <x:v>Power, status, reputation, authority, and centrality are distinct; rankings are relation- and domain-specific. Coverage, opportunity, missingness, and selection into the recorded setting must be documented.</x:v>
      </x:c>
      <x:c r="I130" s="43" t="str">
        <x:v>SRC227; SRC228; SRC258</x:v>
      </x:c>
    </x:row>
    <x:row r="131" ht="62" customHeight="1">
      <x:c r="A131" s="43" t="str">
        <x:v>OP-SOC-0127</x:v>
      </x:c>
      <x:c r="B131" s="43" t="str">
        <x:v>SOC-043</x:v>
      </x:c>
      <x:c r="C131" s="43" t="str">
        <x:v>Reputation Valence</x:v>
      </x:c>
      <x:c r="D131" s="43" t="str">
        <x:v>Construct-specific social assessment: Peer nominations</x:v>
      </x:c>
      <x:c r="E131" s="43" t="str">
        <x:v>Self-report / assessment</x:v>
      </x:c>
      <x:c r="F131" s="43" t="str">
        <x:v>Negative–neutral–positive reputation score; favorable-mention proportion</x:v>
      </x:c>
      <x:c r="G131" s="43" t="str">
        <x:v>Moderate</x:v>
      </x:c>
      <x:c r="H131" s="43" t="str">
        <x:v>Power, status, reputation, authority, and centrality are distinct; rankings are relation- and domain-specific. Use an explicit social referent, unit of analysis, behavior, setting, and time window.</x:v>
      </x:c>
      <x:c r="I131" s="43" t="str">
        <x:v>SRC249; SRC257; SRC228</x:v>
      </x:c>
    </x:row>
    <x:row r="132" ht="62" customHeight="1">
      <x:c r="A132" s="43" t="str">
        <x:v>OP-SOC-0128</x:v>
      </x:c>
      <x:c r="B132" s="43" t="str">
        <x:v>SOC-043</x:v>
      </x:c>
      <x:c r="C132" s="43" t="str">
        <x:v>Reputation Valence</x:v>
      </x:c>
      <x:c r="D132" s="43" t="str">
        <x:v>Observed relational or group indicator: evaluative statements</x:v>
      </x:c>
      <x:c r="E132" s="43" t="str">
        <x:v>Behavioral / clinical assessment</x:v>
      </x:c>
      <x:c r="F132" s="43" t="str">
        <x:v>Negative–neutral–positive reputation score; favorable-mention proportion</x:v>
      </x:c>
      <x:c r="G132" s="43" t="str">
        <x:v>Moderate</x:v>
      </x:c>
      <x:c r="H132" s="43" t="str">
        <x:v>Power, status, reputation, authority, and centrality are distinct; rankings are relation- and domain-specific. Observation is an indicator and should be triangulated across actors or episodes where feasible.</x:v>
      </x:c>
      <x:c r="I132" s="43" t="str">
        <x:v>SRC249; SRC257; SRC228</x:v>
      </x:c>
    </x:row>
    <x:row r="133" ht="62" customHeight="1">
      <x:c r="A133" s="43" t="str">
        <x:v>OP-SOC-0129</x:v>
      </x:c>
      <x:c r="B133" s="43" t="str">
        <x:v>SOC-043</x:v>
      </x:c>
      <x:c r="C133" s="43" t="str">
        <x:v>Reputation Valence</x:v>
      </x:c>
      <x:c r="D133" s="43" t="str">
        <x:v>Administrative, roster, or interaction record: recommendation rate</x:v>
      </x:c>
      <x:c r="E133" s="43" t="str">
        <x:v>Administrative / archival</x:v>
      </x:c>
      <x:c r="F133" s="43" t="str">
        <x:v>Negative–neutral–positive reputation score; favorable-mention proportion</x:v>
      </x:c>
      <x:c r="G133" s="43" t="str">
        <x:v>Moderate</x:v>
      </x:c>
      <x:c r="H133" s="43" t="str">
        <x:v>Power, status, reputation, authority, and centrality are distinct; rankings are relation- and domain-specific. Coverage, opportunity, missingness, and selection into the recorded setting must be documented.</x:v>
      </x:c>
      <x:c r="I133" s="43" t="str">
        <x:v>SRC249; SRC257; SRC228</x:v>
      </x:c>
    </x:row>
    <x:row r="134" ht="62" customHeight="1">
      <x:c r="A134" s="43" t="str">
        <x:v>OP-SOC-0130</x:v>
      </x:c>
      <x:c r="B134" s="43" t="str">
        <x:v>SOC-044</x:v>
      </x:c>
      <x:c r="C134" s="43" t="str">
        <x:v>Reputation Visibility</x:v>
      </x:c>
      <x:c r="D134" s="43" t="str">
        <x:v>Construct-specific social assessment: Audience reach</x:v>
      </x:c>
      <x:c r="E134" s="43" t="str">
        <x:v>Self-report / assessment</x:v>
      </x:c>
      <x:c r="F134" s="43" t="str">
        <x:v>0–1 audience coverage; low–high track-record visibility</x:v>
      </x:c>
      <x:c r="G134" s="43" t="str">
        <x:v>Moderate</x:v>
      </x:c>
      <x:c r="H134" s="43" t="str">
        <x:v>Power, status, reputation, authority, and centrality are distinct; rankings are relation- and domain-specific. Use an explicit social referent, unit of analysis, behavior, setting, and time window.</x:v>
      </x:c>
      <x:c r="I134" s="43" t="str">
        <x:v>SRC249; SRC257</x:v>
      </x:c>
    </x:row>
    <x:row r="135" ht="62" customHeight="1">
      <x:c r="A135" s="43" t="str">
        <x:v>OP-SOC-0131</x:v>
      </x:c>
      <x:c r="B135" s="43" t="str">
        <x:v>SOC-044</x:v>
      </x:c>
      <x:c r="C135" s="43" t="str">
        <x:v>Reputation Visibility</x:v>
      </x:c>
      <x:c r="D135" s="43" t="str">
        <x:v>Observed relational or group indicator: profile visibility</x:v>
      </x:c>
      <x:c r="E135" s="43" t="str">
        <x:v>Behavioral / clinical assessment</x:v>
      </x:c>
      <x:c r="F135" s="43" t="str">
        <x:v>0–1 audience coverage; low–high track-record visibility</x:v>
      </x:c>
      <x:c r="G135" s="43" t="str">
        <x:v>Moderate</x:v>
      </x:c>
      <x:c r="H135" s="43" t="str">
        <x:v>Power, status, reputation, authority, and centrality are distinct; rankings are relation- and domain-specific. Observation is an indicator and should be triangulated across actors or episodes where feasible.</x:v>
      </x:c>
      <x:c r="I135" s="43" t="str">
        <x:v>SRC249; SRC257</x:v>
      </x:c>
    </x:row>
    <x:row r="136" ht="62" customHeight="1">
      <x:c r="A136" s="43" t="str">
        <x:v>OP-SOC-0132</x:v>
      </x:c>
      <x:c r="B136" s="43" t="str">
        <x:v>SOC-044</x:v>
      </x:c>
      <x:c r="C136" s="43" t="str">
        <x:v>Reputation Visibility</x:v>
      </x:c>
      <x:c r="D136" s="43" t="str">
        <x:v>Administrative, roster, or interaction record: gossip coverage</x:v>
      </x:c>
      <x:c r="E136" s="43" t="str">
        <x:v>Administrative / archival</x:v>
      </x:c>
      <x:c r="F136" s="43" t="str">
        <x:v>0–1 audience coverage; low–high track-record visibility</x:v>
      </x:c>
      <x:c r="G136" s="43" t="str">
        <x:v>Moderate</x:v>
      </x:c>
      <x:c r="H136" s="43" t="str">
        <x:v>Power, status, reputation, authority, and centrality are distinct; rankings are relation- and domain-specific. Coverage, opportunity, missingness, and selection into the recorded setting must be documented.</x:v>
      </x:c>
      <x:c r="I136" s="43" t="str">
        <x:v>SRC249; SRC257</x:v>
      </x:c>
    </x:row>
    <x:row r="137" ht="62" customHeight="1">
      <x:c r="A137" s="43" t="str">
        <x:v>OP-SOC-0133</x:v>
      </x:c>
      <x:c r="B137" s="43" t="str">
        <x:v>SOC-045</x:v>
      </x:c>
      <x:c r="C137" s="43" t="str">
        <x:v>Deference Received</x:v>
      </x:c>
      <x:c r="D137" s="43" t="str">
        <x:v>Construct-specific social assessment: Turn yielding</x:v>
      </x:c>
      <x:c r="E137" s="43" t="str">
        <x:v>Self-report / assessment</x:v>
      </x:c>
      <x:c r="F137" s="43" t="str">
        <x:v>Deference events per interaction; share of yielded decisions or speaking turns</x:v>
      </x:c>
      <x:c r="G137" s="43" t="str">
        <x:v>Moderate</x:v>
      </x:c>
      <x:c r="H137" s="43" t="str">
        <x:v>Power, status, reputation, authority, and centrality are distinct; rankings are relation- and domain-specific. Use an explicit social referent, unit of analysis, behavior, setting, and time window.</x:v>
      </x:c>
      <x:c r="I137" s="43" t="str">
        <x:v>SRC227; SRC228; SRC258</x:v>
      </x:c>
    </x:row>
    <x:row r="138" ht="62" customHeight="1">
      <x:c r="A138" s="43" t="str">
        <x:v>OP-SOC-0134</x:v>
      </x:c>
      <x:c r="B138" s="43" t="str">
        <x:v>SOC-045</x:v>
      </x:c>
      <x:c r="C138" s="43" t="str">
        <x:v>Deference Received</x:v>
      </x:c>
      <x:c r="D138" s="43" t="str">
        <x:v>Observed relational or group indicator: decision acceptance</x:v>
      </x:c>
      <x:c r="E138" s="43" t="str">
        <x:v>Behavioral / clinical assessment</x:v>
      </x:c>
      <x:c r="F138" s="43" t="str">
        <x:v>Deference events per interaction; share of yielded decisions or speaking turns</x:v>
      </x:c>
      <x:c r="G138" s="43" t="str">
        <x:v>Moderate</x:v>
      </x:c>
      <x:c r="H138" s="43" t="str">
        <x:v>Power, status, reputation, authority, and centrality are distinct; rankings are relation- and domain-specific. Observation is an indicator and should be triangulated across actors or episodes where feasible.</x:v>
      </x:c>
      <x:c r="I138" s="43" t="str">
        <x:v>SRC227; SRC228; SRC258</x:v>
      </x:c>
    </x:row>
    <x:row r="139" ht="62" customHeight="1">
      <x:c r="A139" s="43" t="str">
        <x:v>OP-SOC-0135</x:v>
      </x:c>
      <x:c r="B139" s="43" t="str">
        <x:v>SOC-045</x:v>
      </x:c>
      <x:c r="C139" s="43" t="str">
        <x:v>Deference Received</x:v>
      </x:c>
      <x:c r="D139" s="43" t="str">
        <x:v>Administrative, roster, or interaction record: preferential access</x:v>
      </x:c>
      <x:c r="E139" s="43" t="str">
        <x:v>Administrative / archival</x:v>
      </x:c>
      <x:c r="F139" s="43" t="str">
        <x:v>Deference events per interaction; share of yielded decisions or speaking turns</x:v>
      </x:c>
      <x:c r="G139" s="43" t="str">
        <x:v>Moderate</x:v>
      </x:c>
      <x:c r="H139" s="43" t="str">
        <x:v>Power, status, reputation, authority, and centrality are distinct; rankings are relation- and domain-specific. Coverage, opportunity, missingness, and selection into the recorded setting must be documented.</x:v>
      </x:c>
      <x:c r="I139" s="43" t="str">
        <x:v>SRC227; SRC228; SRC258</x:v>
      </x:c>
    </x:row>
    <x:row r="140" ht="62" customHeight="1">
      <x:c r="A140" s="43" t="str">
        <x:v>OP-SOC-0136</x:v>
      </x:c>
      <x:c r="B140" s="43" t="str">
        <x:v>SOC-046</x:v>
      </x:c>
      <x:c r="C140" s="43" t="str">
        <x:v>Resource Control Asymmetry</x:v>
      </x:c>
      <x:c r="D140" s="43" t="str">
        <x:v>Construct-specific social assessment: Control of funds, information, access, labor, or opportunities</x:v>
      </x:c>
      <x:c r="E140" s="43" t="str">
        <x:v>Self-report / assessment</x:v>
      </x:c>
      <x:c r="F140" s="43" t="str">
        <x:v>Negative = other controls more; zero = balanced; positive = focal actor controls more</x:v>
      </x:c>
      <x:c r="G140" s="43" t="str">
        <x:v>Moderate</x:v>
      </x:c>
      <x:c r="H140" s="43" t="str">
        <x:v>Power, status, reputation, authority, and centrality are distinct; rankings are relation- and domain-specific. Use an explicit social referent, unit of analysis, behavior, setting, and time window.</x:v>
      </x:c>
      <x:c r="I140" s="43" t="str">
        <x:v>SRC228; SRC246; SRC258</x:v>
      </x:c>
    </x:row>
    <x:row r="141" ht="62" customHeight="1">
      <x:c r="A141" s="43" t="str">
        <x:v>OP-SOC-0137</x:v>
      </x:c>
      <x:c r="B141" s="43" t="str">
        <x:v>SOC-046</x:v>
      </x:c>
      <x:c r="C141" s="43" t="str">
        <x:v>Resource Control Asymmetry</x:v>
      </x:c>
      <x:c r="D141" s="43" t="str">
        <x:v>Observed relational or group indicator: alternatives available</x:v>
      </x:c>
      <x:c r="E141" s="43" t="str">
        <x:v>Behavioral / clinical assessment</x:v>
      </x:c>
      <x:c r="F141" s="43" t="str">
        <x:v>Negative = other controls more; zero = balanced; positive = focal actor controls more</x:v>
      </x:c>
      <x:c r="G141" s="43" t="str">
        <x:v>Moderate</x:v>
      </x:c>
      <x:c r="H141" s="43" t="str">
        <x:v>Power, status, reputation, authority, and centrality are distinct; rankings are relation- and domain-specific. Observation is an indicator and should be triangulated across actors or episodes where feasible.</x:v>
      </x:c>
      <x:c r="I141" s="43" t="str">
        <x:v>SRC228; SRC246; SRC258</x:v>
      </x:c>
    </x:row>
    <x:row r="142" ht="62" customHeight="1">
      <x:c r="A142" s="43" t="str">
        <x:v>OP-SOC-0138</x:v>
      </x:c>
      <x:c r="B142" s="43" t="str">
        <x:v>SOC-046</x:v>
      </x:c>
      <x:c r="C142" s="43" t="str">
        <x:v>Resource Control Asymmetry</x:v>
      </x:c>
      <x:c r="D142" s="43" t="str">
        <x:v>Administrative, roster, or interaction record: Control of funds, information, access, labor, or opportunities</x:v>
      </x:c>
      <x:c r="E142" s="43" t="str">
        <x:v>Administrative / archival</x:v>
      </x:c>
      <x:c r="F142" s="43" t="str">
        <x:v>Negative = other controls more; zero = balanced; positive = focal actor controls more</x:v>
      </x:c>
      <x:c r="G142" s="43" t="str">
        <x:v>Moderate</x:v>
      </x:c>
      <x:c r="H142" s="43" t="str">
        <x:v>Power, status, reputation, authority, and centrality are distinct; rankings are relation- and domain-specific. Coverage, opportunity, missingness, and selection into the recorded setting must be documented.</x:v>
      </x:c>
      <x:c r="I142" s="43" t="str">
        <x:v>SRC228; SRC246; SRC258</x:v>
      </x:c>
    </x:row>
    <x:row r="143" ht="62" customHeight="1">
      <x:c r="A143" s="43" t="str">
        <x:v>OP-SOC-0139</x:v>
      </x:c>
      <x:c r="B143" s="43" t="str">
        <x:v>SOC-047</x:v>
      </x:c>
      <x:c r="C143" s="43" t="str">
        <x:v>Dependence Asymmetry</x:v>
      </x:c>
      <x:c r="D143" s="43" t="str">
        <x:v>Construct-specific social assessment: Alternative partners</x:v>
      </x:c>
      <x:c r="E143" s="43" t="str">
        <x:v>Self-report / assessment</x:v>
      </x:c>
      <x:c r="F143" s="43" t="str">
        <x:v>Negative = focal actor more dependent; zero = balanced; positive = other actor more dependent</x:v>
      </x:c>
      <x:c r="G143" s="43" t="str">
        <x:v>Moderate</x:v>
      </x:c>
      <x:c r="H143" s="43" t="str">
        <x:v>Power, status, reputation, authority, and centrality are distinct; rankings are relation- and domain-specific. Use an explicit social referent, unit of analysis, behavior, setting, and time window.</x:v>
      </x:c>
      <x:c r="I143" s="43" t="str">
        <x:v>SRC228; SRC246; SRC258</x:v>
      </x:c>
    </x:row>
    <x:row r="144" ht="62" customHeight="1">
      <x:c r="A144" s="43" t="str">
        <x:v>OP-SOC-0140</x:v>
      </x:c>
      <x:c r="B144" s="43" t="str">
        <x:v>SOC-047</x:v>
      </x:c>
      <x:c r="C144" s="43" t="str">
        <x:v>Dependence Asymmetry</x:v>
      </x:c>
      <x:c r="D144" s="43" t="str">
        <x:v>Observed relational or group indicator: switching cost</x:v>
      </x:c>
      <x:c r="E144" s="43" t="str">
        <x:v>Behavioral / clinical assessment</x:v>
      </x:c>
      <x:c r="F144" s="43" t="str">
        <x:v>Negative = focal actor more dependent; zero = balanced; positive = other actor more dependent</x:v>
      </x:c>
      <x:c r="G144" s="43" t="str">
        <x:v>Moderate</x:v>
      </x:c>
      <x:c r="H144" s="43" t="str">
        <x:v>Power, status, reputation, authority, and centrality are distinct; rankings are relation- and domain-specific. Observation is an indicator and should be triangulated across actors or episodes where feasible.</x:v>
      </x:c>
      <x:c r="I144" s="43" t="str">
        <x:v>SRC228; SRC246; SRC258</x:v>
      </x:c>
    </x:row>
    <x:row r="145" ht="62" customHeight="1">
      <x:c r="A145" s="43" t="str">
        <x:v>OP-SOC-0141</x:v>
      </x:c>
      <x:c r="B145" s="43" t="str">
        <x:v>SOC-047</x:v>
      </x:c>
      <x:c r="C145" s="43" t="str">
        <x:v>Dependence Asymmetry</x:v>
      </x:c>
      <x:c r="D145" s="43" t="str">
        <x:v>Administrative, roster, or interaction record: relationship-specific resource share</x:v>
      </x:c>
      <x:c r="E145" s="43" t="str">
        <x:v>Administrative / archival</x:v>
      </x:c>
      <x:c r="F145" s="43" t="str">
        <x:v>Negative = focal actor more dependent; zero = balanced; positive = other actor more dependent</x:v>
      </x:c>
      <x:c r="G145" s="43" t="str">
        <x:v>Moderate</x:v>
      </x:c>
      <x:c r="H145" s="43" t="str">
        <x:v>Power, status, reputation, authority, and centrality are distinct; rankings are relation- and domain-specific. Coverage, opportunity, missingness, and selection into the recorded setting must be documented.</x:v>
      </x:c>
      <x:c r="I145" s="43" t="str">
        <x:v>SRC228; SRC246; SRC258</x:v>
      </x:c>
    </x:row>
    <x:row r="146" ht="62" customHeight="1">
      <x:c r="A146" s="43" t="str">
        <x:v>OP-SOC-0142</x:v>
      </x:c>
      <x:c r="B146" s="43" t="str">
        <x:v>SOC-048</x:v>
      </x:c>
      <x:c r="C146" s="43" t="str">
        <x:v>Informal Authority Strength</x:v>
      </x:c>
      <x:c r="D146" s="43" t="str">
        <x:v>Construct-specific social assessment: Leadership nominations</x:v>
      </x:c>
      <x:c r="E146" s="43" t="str">
        <x:v>Self-report / assessment</x:v>
      </x:c>
      <x:c r="F146" s="43" t="str">
        <x:v>Low–high accepted influence; directive-following proportion; sociometric leadership score</x:v>
      </x:c>
      <x:c r="G146" s="43" t="str">
        <x:v>Moderate</x:v>
      </x:c>
      <x:c r="H146" s="43" t="str">
        <x:v>Power, status, reputation, authority, and centrality are distinct; rankings are relation- and domain-specific. Use an explicit social referent, unit of analysis, behavior, setting, and time window.</x:v>
      </x:c>
      <x:c r="I146" s="43" t="str">
        <x:v>SRC228; SRC230; SRC258</x:v>
      </x:c>
    </x:row>
    <x:row r="147" ht="62" customHeight="1">
      <x:c r="A147" s="43" t="str">
        <x:v>OP-SOC-0143</x:v>
      </x:c>
      <x:c r="B147" s="43" t="str">
        <x:v>SOC-048</x:v>
      </x:c>
      <x:c r="C147" s="43" t="str">
        <x:v>Informal Authority Strength</x:v>
      </x:c>
      <x:c r="D147" s="43" t="str">
        <x:v>Observed relational or group indicator: directive uptake</x:v>
      </x:c>
      <x:c r="E147" s="43" t="str">
        <x:v>Behavioral / clinical assessment</x:v>
      </x:c>
      <x:c r="F147" s="43" t="str">
        <x:v>Low–high accepted influence; directive-following proportion; sociometric leadership score</x:v>
      </x:c>
      <x:c r="G147" s="43" t="str">
        <x:v>Moderate</x:v>
      </x:c>
      <x:c r="H147" s="43" t="str">
        <x:v>Power, status, reputation, authority, and centrality are distinct; rankings are relation- and domain-specific. Observation is an indicator and should be triangulated across actors or episodes where feasible.</x:v>
      </x:c>
      <x:c r="I147" s="43" t="str">
        <x:v>SRC228; SRC230; SRC258</x:v>
      </x:c>
    </x:row>
    <x:row r="148" ht="62" customHeight="1">
      <x:c r="A148" s="43" t="str">
        <x:v>OP-SOC-0144</x:v>
      </x:c>
      <x:c r="B148" s="43" t="str">
        <x:v>SOC-048</x:v>
      </x:c>
      <x:c r="C148" s="43" t="str">
        <x:v>Informal Authority Strength</x:v>
      </x:c>
      <x:c r="D148" s="43" t="str">
        <x:v>Administrative, roster, or interaction record: unsolicited consultation</x:v>
      </x:c>
      <x:c r="E148" s="43" t="str">
        <x:v>Administrative / archival</x:v>
      </x:c>
      <x:c r="F148" s="43" t="str">
        <x:v>Low–high accepted influence; directive-following proportion; sociometric leadership score</x:v>
      </x:c>
      <x:c r="G148" s="43" t="str">
        <x:v>Moderate</x:v>
      </x:c>
      <x:c r="H148" s="43" t="str">
        <x:v>Power, status, reputation, authority, and centrality are distinct; rankings are relation- and domain-specific. Coverage, opportunity, missingness, and selection into the recorded setting must be documented.</x:v>
      </x:c>
      <x:c r="I148" s="43" t="str">
        <x:v>SRC228; SRC230; SRC258</x:v>
      </x:c>
    </x:row>
    <x:row r="149" ht="62" customHeight="1">
      <x:c r="A149" s="43" t="str">
        <x:v>OP-SOC-0145</x:v>
      </x:c>
      <x:c r="B149" s="43" t="str">
        <x:v>SOC-049</x:v>
      </x:c>
      <x:c r="C149" s="43" t="str">
        <x:v>Degree Centrality</x:v>
      </x:c>
      <x:c r="D149" s="43" t="str">
        <x:v>Network or trace measure: In-degree</x:v>
      </x:c>
      <x:c r="E149" s="43" t="str">
        <x:v>Administrative / archival</x:v>
      </x:c>
      <x:c r="F149" s="43" t="str">
        <x:v>Raw in-degree or out-degree; normalized degree proportion; weighted degree</x:v>
      </x:c>
      <x:c r="G149" s="43" t="str">
        <x:v>Moderate</x:v>
      </x:c>
      <x:c r="H149" s="43" t="str">
        <x:v>Network statistics are meaningful only relative to a defined node set, edge relation, direction, weighting, and observation window. Preserve node set, edge relation, direction, weighting, and observation window.</x:v>
      </x:c>
      <x:c r="I149" s="43" t="str">
        <x:v>SRC233; SRC255; SRC256</x:v>
      </x:c>
    </x:row>
    <x:row r="150" ht="62" customHeight="1">
      <x:c r="A150" s="43" t="str">
        <x:v>OP-SOC-0146</x:v>
      </x:c>
      <x:c r="B150" s="43" t="str">
        <x:v>SOC-049</x:v>
      </x:c>
      <x:c r="C150" s="43" t="str">
        <x:v>Degree Centrality</x:v>
      </x:c>
      <x:c r="D150" s="43" t="str">
        <x:v>Roster-based network assessment: out-degree</x:v>
      </x:c>
      <x:c r="E150" s="43" t="str">
        <x:v>Self-report / assessment</x:v>
      </x:c>
      <x:c r="F150" s="43" t="str">
        <x:v>Raw in-degree or out-degree; normalized degree proportion; weighted degree</x:v>
      </x:c>
      <x:c r="G150" s="43" t="str">
        <x:v>Moderate</x:v>
      </x:c>
      <x:c r="H150" s="43" t="str">
        <x:v>Network statistics are meaningful only relative to a defined node set, edge relation, direction, weighting, and observation window. Assess nonresponse, recall limits, asymmetric nominations, and boundary sensitivity.</x:v>
      </x:c>
      <x:c r="I150" s="43" t="str">
        <x:v>SRC233; SRC255; SRC256</x:v>
      </x:c>
    </x:row>
    <x:row r="151" ht="62" customHeight="1">
      <x:c r="A151" s="43" t="str">
        <x:v>OP-SOC-0147</x:v>
      </x:c>
      <x:c r="B151" s="43" t="str">
        <x:v>SOC-049</x:v>
      </x:c>
      <x:c r="C151" s="43" t="str">
        <x:v>Degree Centrality</x:v>
      </x:c>
      <x:c r="D151" s="43" t="str">
        <x:v>Reconstructed or modeled network indicator: weighted degree</x:v>
      </x:c>
      <x:c r="E151" s="43" t="str">
        <x:v>Other</x:v>
      </x:c>
      <x:c r="F151" s="43" t="str">
        <x:v>Graph statistic, temporal-network estimate, or exposure reconstruction with uncertainty</x:v>
      </x:c>
      <x:c r="G151" s="43" t="str">
        <x:v>Moderate</x:v>
      </x:c>
      <x:c r="H151" s="43" t="str">
        <x:v>Network statistics are meaningful only relative to a defined node set, edge relation, direction, weighting, and observation window. Report model assumptions, missingness, temporal ordering, and sensitivity to alternative specifications.</x:v>
      </x:c>
      <x:c r="I151" s="43" t="str">
        <x:v>SRC233; SRC255; SRC256</x:v>
      </x:c>
    </x:row>
    <x:row r="152" ht="62" customHeight="1">
      <x:c r="A152" s="43" t="str">
        <x:v>OP-SOC-0148</x:v>
      </x:c>
      <x:c r="B152" s="43" t="str">
        <x:v>SOC-050</x:v>
      </x:c>
      <x:c r="C152" s="43" t="str">
        <x:v>Betweenness Centrality</x:v>
      </x:c>
      <x:c r="D152" s="43" t="str">
        <x:v>Network or trace measure: Normalized betweenness</x:v>
      </x:c>
      <x:c r="E152" s="43" t="str">
        <x:v>Administrative / archival</x:v>
      </x:c>
      <x:c r="F152" s="43" t="str">
        <x:v>Normalized betweenness score from 0 to 1; weighted or directed variant</x:v>
      </x:c>
      <x:c r="G152" s="43" t="str">
        <x:v>Moderate</x:v>
      </x:c>
      <x:c r="H152" s="43" t="str">
        <x:v>Network statistics are meaningful only relative to a defined node set, edge relation, direction, weighting, and observation window. Preserve node set, edge relation, direction, weighting, and observation window.</x:v>
      </x:c>
      <x:c r="I152" s="43" t="str">
        <x:v>SRC234; SRC255; SRC269</x:v>
      </x:c>
    </x:row>
    <x:row r="153" ht="62" customHeight="1">
      <x:c r="A153" s="43" t="str">
        <x:v>OP-SOC-0149</x:v>
      </x:c>
      <x:c r="B153" s="43" t="str">
        <x:v>SOC-050</x:v>
      </x:c>
      <x:c r="C153" s="43" t="str">
        <x:v>Betweenness Centrality</x:v>
      </x:c>
      <x:c r="D153" s="43" t="str">
        <x:v>Roster-based network assessment: intermediary events</x:v>
      </x:c>
      <x:c r="E153" s="43" t="str">
        <x:v>Self-report / assessment</x:v>
      </x:c>
      <x:c r="F153" s="43" t="str">
        <x:v>Normalized betweenness score from 0 to 1; weighted or directed variant</x:v>
      </x:c>
      <x:c r="G153" s="43" t="str">
        <x:v>Moderate</x:v>
      </x:c>
      <x:c r="H153" s="43" t="str">
        <x:v>Network statistics are meaningful only relative to a defined node set, edge relation, direction, weighting, and observation window. Assess nonresponse, recall limits, asymmetric nominations, and boundary sensitivity.</x:v>
      </x:c>
      <x:c r="I153" s="43" t="str">
        <x:v>SRC234; SRC255; SRC269</x:v>
      </x:c>
    </x:row>
    <x:row r="154" ht="62" customHeight="1">
      <x:c r="A154" s="43" t="str">
        <x:v>OP-SOC-0150</x:v>
      </x:c>
      <x:c r="B154" s="43" t="str">
        <x:v>SOC-050</x:v>
      </x:c>
      <x:c r="C154" s="43" t="str">
        <x:v>Betweenness Centrality</x:v>
      </x:c>
      <x:c r="D154" s="43" t="str">
        <x:v>Reconstructed or modeled network indicator: flow paths</x:v>
      </x:c>
      <x:c r="E154" s="43" t="str">
        <x:v>Other</x:v>
      </x:c>
      <x:c r="F154" s="43" t="str">
        <x:v>Graph statistic, temporal-network estimate, or exposure reconstruction with uncertainty</x:v>
      </x:c>
      <x:c r="G154" s="43" t="str">
        <x:v>Moderate</x:v>
      </x:c>
      <x:c r="H154" s="43" t="str">
        <x:v>Network statistics are meaningful only relative to a defined node set, edge relation, direction, weighting, and observation window. Report model assumptions, missingness, temporal ordering, and sensitivity to alternative specifications.</x:v>
      </x:c>
      <x:c r="I154" s="43" t="str">
        <x:v>SRC234; SRC255; SRC269</x:v>
      </x:c>
    </x:row>
    <x:row r="155" ht="62" customHeight="1">
      <x:c r="A155" s="43" t="str">
        <x:v>OP-SOC-0151</x:v>
      </x:c>
      <x:c r="B155" s="43" t="str">
        <x:v>SOC-051</x:v>
      </x:c>
      <x:c r="C155" s="43" t="str">
        <x:v>Eigenvector Centrality</x:v>
      </x:c>
      <x:c r="D155" s="43" t="str">
        <x:v>Network or trace measure: Eigenvector score</x:v>
      </x:c>
      <x:c r="E155" s="43" t="str">
        <x:v>Administrative / archival</x:v>
      </x:c>
      <x:c r="F155" s="43" t="str">
        <x:v>Normalized eigenvector score; related prestige-centrality measure</x:v>
      </x:c>
      <x:c r="G155" s="43" t="str">
        <x:v>Moderate</x:v>
      </x:c>
      <x:c r="H155" s="43" t="str">
        <x:v>Network statistics are meaningful only relative to a defined node set, edge relation, direction, weighting, and observation window. Preserve node set, edge relation, direction, weighting, and observation window.</x:v>
      </x:c>
      <x:c r="I155" s="43" t="str">
        <x:v>SRC236; SRC250; SRC255</x:v>
      </x:c>
    </x:row>
    <x:row r="156" ht="62" customHeight="1">
      <x:c r="A156" s="43" t="str">
        <x:v>OP-SOC-0152</x:v>
      </x:c>
      <x:c r="B156" s="43" t="str">
        <x:v>SOC-051</x:v>
      </x:c>
      <x:c r="C156" s="43" t="str">
        <x:v>Eigenvector Centrality</x:v>
      </x:c>
      <x:c r="D156" s="43" t="str">
        <x:v>Roster-based network assessment: prestige nominations</x:v>
      </x:c>
      <x:c r="E156" s="43" t="str">
        <x:v>Self-report / assessment</x:v>
      </x:c>
      <x:c r="F156" s="43" t="str">
        <x:v>Normalized eigenvector score; related prestige-centrality measure</x:v>
      </x:c>
      <x:c r="G156" s="43" t="str">
        <x:v>Moderate</x:v>
      </x:c>
      <x:c r="H156" s="43" t="str">
        <x:v>Network statistics are meaningful only relative to a defined node set, edge relation, direction, weighting, and observation window. Assess nonresponse, recall limits, asymmetric nominations, and boundary sensitivity.</x:v>
      </x:c>
      <x:c r="I156" s="43" t="str">
        <x:v>SRC236; SRC250; SRC255</x:v>
      </x:c>
    </x:row>
    <x:row r="157" ht="62" customHeight="1">
      <x:c r="A157" s="43" t="str">
        <x:v>OP-SOC-0153</x:v>
      </x:c>
      <x:c r="B157" s="43" t="str">
        <x:v>SOC-051</x:v>
      </x:c>
      <x:c r="C157" s="43" t="str">
        <x:v>Eigenvector Centrality</x:v>
      </x:c>
      <x:c r="D157" s="43" t="str">
        <x:v>Reconstructed or modeled network indicator: central-neighbor exposure</x:v>
      </x:c>
      <x:c r="E157" s="43" t="str">
        <x:v>Other</x:v>
      </x:c>
      <x:c r="F157" s="43" t="str">
        <x:v>Graph statistic, temporal-network estimate, or exposure reconstruction with uncertainty</x:v>
      </x:c>
      <x:c r="G157" s="43" t="str">
        <x:v>Moderate</x:v>
      </x:c>
      <x:c r="H157" s="43" t="str">
        <x:v>Network statistics are meaningful only relative to a defined node set, edge relation, direction, weighting, and observation window. Report model assumptions, missingness, temporal ordering, and sensitivity to alternative specifications.</x:v>
      </x:c>
      <x:c r="I157" s="43" t="str">
        <x:v>SRC236; SRC250; SRC255</x:v>
      </x:c>
    </x:row>
    <x:row r="158" ht="62" customHeight="1">
      <x:c r="A158" s="43" t="str">
        <x:v>OP-SOC-0154</x:v>
      </x:c>
      <x:c r="B158" s="43" t="str">
        <x:v>SOC-052</x:v>
      </x:c>
      <x:c r="C158" s="43" t="str">
        <x:v>Network Density</x:v>
      </x:c>
      <x:c r="D158" s="43" t="str">
        <x:v>Network or trace measure: Edge count</x:v>
      </x:c>
      <x:c r="E158" s="43" t="str">
        <x:v>Administrative / archival</x:v>
      </x:c>
      <x:c r="F158" s="43" t="str">
        <x:v>Observed ties divided by possible ties, with direction and loops specified</x:v>
      </x:c>
      <x:c r="G158" s="43" t="str">
        <x:v>Moderate</x:v>
      </x:c>
      <x:c r="H158" s="43" t="str">
        <x:v>Network statistics are meaningful only relative to a defined node set, edge relation, direction, weighting, and observation window. Preserve node set, edge relation, direction, weighting, and observation window.</x:v>
      </x:c>
      <x:c r="I158" s="43" t="str">
        <x:v>SRC256; SRC254; SRC235</x:v>
      </x:c>
    </x:row>
    <x:row r="159" ht="62" customHeight="1">
      <x:c r="A159" s="43" t="str">
        <x:v>OP-SOC-0155</x:v>
      </x:c>
      <x:c r="B159" s="43" t="str">
        <x:v>SOC-052</x:v>
      </x:c>
      <x:c r="C159" s="43" t="str">
        <x:v>Network Density</x:v>
      </x:c>
      <x:c r="D159" s="43" t="str">
        <x:v>Roster-based network assessment: possible-edge count</x:v>
      </x:c>
      <x:c r="E159" s="43" t="str">
        <x:v>Self-report / assessment</x:v>
      </x:c>
      <x:c r="F159" s="43" t="str">
        <x:v>Observed ties divided by possible ties, with direction and loops specified</x:v>
      </x:c>
      <x:c r="G159" s="43" t="str">
        <x:v>Moderate</x:v>
      </x:c>
      <x:c r="H159" s="43" t="str">
        <x:v>Network statistics are meaningful only relative to a defined node set, edge relation, direction, weighting, and observation window. Assess nonresponse, recall limits, asymmetric nominations, and boundary sensitivity.</x:v>
      </x:c>
      <x:c r="I159" s="43" t="str">
        <x:v>SRC256; SRC254; SRC235</x:v>
      </x:c>
    </x:row>
    <x:row r="160" ht="62" customHeight="1">
      <x:c r="A160" s="43" t="str">
        <x:v>OP-SOC-0156</x:v>
      </x:c>
      <x:c r="B160" s="43" t="str">
        <x:v>SOC-052</x:v>
      </x:c>
      <x:c r="C160" s="43" t="str">
        <x:v>Network Density</x:v>
      </x:c>
      <x:c r="D160" s="43" t="str">
        <x:v>Reconstructed or modeled network indicator: weighted density</x:v>
      </x:c>
      <x:c r="E160" s="43" t="str">
        <x:v>Other</x:v>
      </x:c>
      <x:c r="F160" s="43" t="str">
        <x:v>Graph statistic, temporal-network estimate, or exposure reconstruction with uncertainty</x:v>
      </x:c>
      <x:c r="G160" s="43" t="str">
        <x:v>Moderate</x:v>
      </x:c>
      <x:c r="H160" s="43" t="str">
        <x:v>Network statistics are meaningful only relative to a defined node set, edge relation, direction, weighting, and observation window. Report model assumptions, missingness, temporal ordering, and sensitivity to alternative specifications.</x:v>
      </x:c>
      <x:c r="I160" s="43" t="str">
        <x:v>SRC256; SRC254; SRC235</x:v>
      </x:c>
    </x:row>
    <x:row r="161" ht="62" customHeight="1">
      <x:c r="A161" s="43" t="str">
        <x:v>OP-SOC-0157</x:v>
      </x:c>
      <x:c r="B161" s="43" t="str">
        <x:v>SOC-053</x:v>
      </x:c>
      <x:c r="C161" s="43" t="str">
        <x:v>Local Clustering</x:v>
      </x:c>
      <x:c r="D161" s="43" t="str">
        <x:v>Network or trace measure: Closed triads</x:v>
      </x:c>
      <x:c r="E161" s="43" t="str">
        <x:v>Administrative / archival</x:v>
      </x:c>
      <x:c r="F161" s="43" t="str">
        <x:v>Local clustering coefficient from 0 to 1; weighted or directed variant</x:v>
      </x:c>
      <x:c r="G161" s="43" t="str">
        <x:v>Moderate</x:v>
      </x:c>
      <x:c r="H161" s="43" t="str">
        <x:v>Network statistics are meaningful only relative to a defined node set, edge relation, direction, weighting, and observation window. Preserve node set, edge relation, direction, weighting, and observation window.</x:v>
      </x:c>
      <x:c r="I161" s="43" t="str">
        <x:v>SRC235; SRC256; SRC254</x:v>
      </x:c>
    </x:row>
    <x:row r="162" ht="62" customHeight="1">
      <x:c r="A162" s="43" t="str">
        <x:v>OP-SOC-0158</x:v>
      </x:c>
      <x:c r="B162" s="43" t="str">
        <x:v>SOC-053</x:v>
      </x:c>
      <x:c r="C162" s="43" t="str">
        <x:v>Local Clustering</x:v>
      </x:c>
      <x:c r="D162" s="43" t="str">
        <x:v>Roster-based network assessment: clustering coefficient</x:v>
      </x:c>
      <x:c r="E162" s="43" t="str">
        <x:v>Self-report / assessment</x:v>
      </x:c>
      <x:c r="F162" s="43" t="str">
        <x:v>Local clustering coefficient from 0 to 1; weighted or directed variant</x:v>
      </x:c>
      <x:c r="G162" s="43" t="str">
        <x:v>Moderate</x:v>
      </x:c>
      <x:c r="H162" s="43" t="str">
        <x:v>Network statistics are meaningful only relative to a defined node set, edge relation, direction, weighting, and observation window. Assess nonresponse, recall limits, asymmetric nominations, and boundary sensitivity.</x:v>
      </x:c>
      <x:c r="I162" s="43" t="str">
        <x:v>SRC235; SRC256; SRC254</x:v>
      </x:c>
    </x:row>
    <x:row r="163" ht="62" customHeight="1">
      <x:c r="A163" s="43" t="str">
        <x:v>OP-SOC-0159</x:v>
      </x:c>
      <x:c r="B163" s="43" t="str">
        <x:v>SOC-053</x:v>
      </x:c>
      <x:c r="C163" s="43" t="str">
        <x:v>Local Clustering</x:v>
      </x:c>
      <x:c r="D163" s="43" t="str">
        <x:v>Reconstructed or modeled network indicator: neighbor-neighbor tie rate</x:v>
      </x:c>
      <x:c r="E163" s="43" t="str">
        <x:v>Other</x:v>
      </x:c>
      <x:c r="F163" s="43" t="str">
        <x:v>Graph statistic, temporal-network estimate, or exposure reconstruction with uncertainty</x:v>
      </x:c>
      <x:c r="G163" s="43" t="str">
        <x:v>Moderate</x:v>
      </x:c>
      <x:c r="H163" s="43" t="str">
        <x:v>Network statistics are meaningful only relative to a defined node set, edge relation, direction, weighting, and observation window. Report model assumptions, missingness, temporal ordering, and sensitivity to alternative specifications.</x:v>
      </x:c>
      <x:c r="I163" s="43" t="str">
        <x:v>SRC235; SRC256; SRC254</x:v>
      </x:c>
    </x:row>
    <x:row r="164" ht="62" customHeight="1">
      <x:c r="A164" s="43" t="str">
        <x:v>OP-SOC-0160</x:v>
      </x:c>
      <x:c r="B164" s="43" t="str">
        <x:v>SOC-054</x:v>
      </x:c>
      <x:c r="C164" s="43" t="str">
        <x:v>Network Assortativity</x:v>
      </x:c>
      <x:c r="D164" s="43" t="str">
        <x:v>Network or trace measure: Mixing matrix</x:v>
      </x:c>
      <x:c r="E164" s="43" t="str">
        <x:v>Administrative / archival</x:v>
      </x:c>
      <x:c r="F164" s="43" t="str">
        <x:v>Assortativity coefficient; observed-minus-expected same-category mixing</x:v>
      </x:c>
      <x:c r="G164" s="43" t="str">
        <x:v>Moderate</x:v>
      </x:c>
      <x:c r="H164" s="43" t="str">
        <x:v>Network statistics are meaningful only relative to a defined node set, edge relation, direction, weighting, and observation window. Preserve node set, edge relation, direction, weighting, and observation window.</x:v>
      </x:c>
      <x:c r="I164" s="43" t="str">
        <x:v>SRC233; SRC260; SRC270</x:v>
      </x:c>
    </x:row>
    <x:row r="165" ht="62" customHeight="1">
      <x:c r="A165" s="43" t="str">
        <x:v>OP-SOC-0161</x:v>
      </x:c>
      <x:c r="B165" s="43" t="str">
        <x:v>SOC-054</x:v>
      </x:c>
      <x:c r="C165" s="43" t="str">
        <x:v>Network Assortativity</x:v>
      </x:c>
      <x:c r="D165" s="43" t="str">
        <x:v>Roster-based network assessment: assortativity coefficient</x:v>
      </x:c>
      <x:c r="E165" s="43" t="str">
        <x:v>Self-report / assessment</x:v>
      </x:c>
      <x:c r="F165" s="43" t="str">
        <x:v>Assortativity coefficient; observed-minus-expected same-category mixing</x:v>
      </x:c>
      <x:c r="G165" s="43" t="str">
        <x:v>Moderate</x:v>
      </x:c>
      <x:c r="H165" s="43" t="str">
        <x:v>Network statistics are meaningful only relative to a defined node set, edge relation, direction, weighting, and observation window. Assess nonresponse, recall limits, asymmetric nominations, and boundary sensitivity.</x:v>
      </x:c>
      <x:c r="I165" s="43" t="str">
        <x:v>SRC233; SRC260; SRC270</x:v>
      </x:c>
    </x:row>
    <x:row r="166" ht="62" customHeight="1">
      <x:c r="A166" s="43" t="str">
        <x:v>OP-SOC-0162</x:v>
      </x:c>
      <x:c r="B166" s="43" t="str">
        <x:v>SOC-054</x:v>
      </x:c>
      <x:c r="C166" s="43" t="str">
        <x:v>Network Assortativity</x:v>
      </x:c>
      <x:c r="D166" s="43" t="str">
        <x:v>Reconstructed or modeled network indicator: same-attribute tie excess</x:v>
      </x:c>
      <x:c r="E166" s="43" t="str">
        <x:v>Other</x:v>
      </x:c>
      <x:c r="F166" s="43" t="str">
        <x:v>Graph statistic, temporal-network estimate, or exposure reconstruction with uncertainty</x:v>
      </x:c>
      <x:c r="G166" s="43" t="str">
        <x:v>Moderate</x:v>
      </x:c>
      <x:c r="H166" s="43" t="str">
        <x:v>Network statistics are meaningful only relative to a defined node set, edge relation, direction, weighting, and observation window. Report model assumptions, missingness, temporal ordering, and sensitivity to alternative specifications.</x:v>
      </x:c>
      <x:c r="I166" s="43" t="str">
        <x:v>SRC233; SRC260; SRC270</x:v>
      </x:c>
    </x:row>
    <x:row r="167" ht="62" customHeight="1">
      <x:c r="A167" s="43" t="str">
        <x:v>OP-SOC-0163</x:v>
      </x:c>
      <x:c r="B167" s="43" t="str">
        <x:v>SOC-055</x:v>
      </x:c>
      <x:c r="C167" s="43" t="str">
        <x:v>Structural Constraint</x:v>
      </x:c>
      <x:c r="D167" s="43" t="str">
        <x:v>Network or trace measure: Constraint score</x:v>
      </x:c>
      <x:c r="E167" s="43" t="str">
        <x:v>Administrative / archival</x:v>
      </x:c>
      <x:c r="F167" s="43" t="str">
        <x:v>Burt constraint score from low to high; contact redundancy index</x:v>
      </x:c>
      <x:c r="G167" s="43" t="str">
        <x:v>Moderate</x:v>
      </x:c>
      <x:c r="H167" s="43" t="str">
        <x:v>Network statistics are meaningful only relative to a defined node set, edge relation, direction, weighting, and observation window. Preserve node set, edge relation, direction, weighting, and observation window.</x:v>
      </x:c>
      <x:c r="I167" s="43" t="str">
        <x:v>SRC234; SRC254; SRC269</x:v>
      </x:c>
    </x:row>
    <x:row r="168" ht="62" customHeight="1">
      <x:c r="A168" s="43" t="str">
        <x:v>OP-SOC-0164</x:v>
      </x:c>
      <x:c r="B168" s="43" t="str">
        <x:v>SOC-055</x:v>
      </x:c>
      <x:c r="C168" s="43" t="str">
        <x:v>Structural Constraint</x:v>
      </x:c>
      <x:c r="D168" s="43" t="str">
        <x:v>Roster-based network assessment: effective size inverse</x:v>
      </x:c>
      <x:c r="E168" s="43" t="str">
        <x:v>Self-report / assessment</x:v>
      </x:c>
      <x:c r="F168" s="43" t="str">
        <x:v>Burt constraint score from low to high; contact redundancy index</x:v>
      </x:c>
      <x:c r="G168" s="43" t="str">
        <x:v>Moderate</x:v>
      </x:c>
      <x:c r="H168" s="43" t="str">
        <x:v>Network statistics are meaningful only relative to a defined node set, edge relation, direction, weighting, and observation window. Assess nonresponse, recall limits, asymmetric nominations, and boundary sensitivity.</x:v>
      </x:c>
      <x:c r="I168" s="43" t="str">
        <x:v>SRC234; SRC254; SRC269</x:v>
      </x:c>
    </x:row>
    <x:row r="169" ht="62" customHeight="1">
      <x:c r="A169" s="43" t="str">
        <x:v>OP-SOC-0165</x:v>
      </x:c>
      <x:c r="B169" s="43" t="str">
        <x:v>SOC-055</x:v>
      </x:c>
      <x:c r="C169" s="43" t="str">
        <x:v>Structural Constraint</x:v>
      </x:c>
      <x:c r="D169" s="43" t="str">
        <x:v>Reconstructed or modeled network indicator: contact redundancy</x:v>
      </x:c>
      <x:c r="E169" s="43" t="str">
        <x:v>Other</x:v>
      </x:c>
      <x:c r="F169" s="43" t="str">
        <x:v>Graph statistic, temporal-network estimate, or exposure reconstruction with uncertainty</x:v>
      </x:c>
      <x:c r="G169" s="43" t="str">
        <x:v>Moderate</x:v>
      </x:c>
      <x:c r="H169" s="43" t="str">
        <x:v>Network statistics are meaningful only relative to a defined node set, edge relation, direction, weighting, and observation window. Report model assumptions, missingness, temporal ordering, and sensitivity to alternative specifications.</x:v>
      </x:c>
      <x:c r="I169" s="43" t="str">
        <x:v>SRC234; SRC254; SRC269</x:v>
      </x:c>
    </x:row>
    <x:row r="170" ht="62" customHeight="1">
      <x:c r="A170" s="43" t="str">
        <x:v>OP-SOC-0166</x:v>
      </x:c>
      <x:c r="B170" s="43" t="str">
        <x:v>SOC-056</x:v>
      </x:c>
      <x:c r="C170" s="43" t="str">
        <x:v>Cross-Cluster Tie Prevalence</x:v>
      </x:c>
      <x:c r="D170" s="43" t="str">
        <x:v>Network or trace measure: Cross-community edges</x:v>
      </x:c>
      <x:c r="E170" s="43" t="str">
        <x:v>Administrative / archival</x:v>
      </x:c>
      <x:c r="F170" s="43" t="str">
        <x:v>Cross-community ties divided by all ties; bridge count normalized by opportunities</x:v>
      </x:c>
      <x:c r="G170" s="43" t="str">
        <x:v>Moderate</x:v>
      </x:c>
      <x:c r="H170" s="43" t="str">
        <x:v>Network statistics are meaningful only relative to a defined node set, edge relation, direction, weighting, and observation window. Preserve node set, edge relation, direction, weighting, and observation window.</x:v>
      </x:c>
      <x:c r="I170" s="43" t="str">
        <x:v>SRC234; SRC237; SRC269</x:v>
      </x:c>
    </x:row>
    <x:row r="171" ht="62" customHeight="1">
      <x:c r="A171" s="43" t="str">
        <x:v>OP-SOC-0167</x:v>
      </x:c>
      <x:c r="B171" s="43" t="str">
        <x:v>SOC-056</x:v>
      </x:c>
      <x:c r="C171" s="43" t="str">
        <x:v>Cross-Cluster Tie Prevalence</x:v>
      </x:c>
      <x:c r="D171" s="43" t="str">
        <x:v>Roster-based network assessment: bridge count</x:v>
      </x:c>
      <x:c r="E171" s="43" t="str">
        <x:v>Self-report / assessment</x:v>
      </x:c>
      <x:c r="F171" s="43" t="str">
        <x:v>Cross-community ties divided by all ties; bridge count normalized by opportunities</x:v>
      </x:c>
      <x:c r="G171" s="43" t="str">
        <x:v>Moderate</x:v>
      </x:c>
      <x:c r="H171" s="43" t="str">
        <x:v>Network statistics are meaningful only relative to a defined node set, edge relation, direction, weighting, and observation window. Assess nonresponse, recall limits, asymmetric nominations, and boundary sensitivity.</x:v>
      </x:c>
      <x:c r="I171" s="43" t="str">
        <x:v>SRC234; SRC237; SRC269</x:v>
      </x:c>
    </x:row>
    <x:row r="172" ht="62" customHeight="1">
      <x:c r="A172" s="43" t="str">
        <x:v>OP-SOC-0168</x:v>
      </x:c>
      <x:c r="B172" s="43" t="str">
        <x:v>SOC-056</x:v>
      </x:c>
      <x:c r="C172" s="43" t="str">
        <x:v>Cross-Cluster Tie Prevalence</x:v>
      </x:c>
      <x:c r="D172" s="43" t="str">
        <x:v>Reconstructed or modeled network indicator: community-spanning nominations</x:v>
      </x:c>
      <x:c r="E172" s="43" t="str">
        <x:v>Other</x:v>
      </x:c>
      <x:c r="F172" s="43" t="str">
        <x:v>Graph statistic, temporal-network estimate, or exposure reconstruction with uncertainty</x:v>
      </x:c>
      <x:c r="G172" s="43" t="str">
        <x:v>Moderate</x:v>
      </x:c>
      <x:c r="H172" s="43" t="str">
        <x:v>Network statistics are meaningful only relative to a defined node set, edge relation, direction, weighting, and observation window. Report model assumptions, missingness, temporal ordering, and sensitivity to alternative specifications.</x:v>
      </x:c>
      <x:c r="I172" s="43" t="str">
        <x:v>SRC234; SRC237; SRC269</x:v>
      </x:c>
    </x:row>
    <x:row r="173" ht="62" customHeight="1">
      <x:c r="A173" s="43" t="str">
        <x:v>OP-SOC-0169</x:v>
      </x:c>
      <x:c r="B173" s="43" t="str">
        <x:v>SOC-057</x:v>
      </x:c>
      <x:c r="C173" s="43" t="str">
        <x:v>Network Segregation</x:v>
      </x:c>
      <x:c r="D173" s="43" t="str">
        <x:v>Network or trace measure: Within- versus between-group ties</x:v>
      </x:c>
      <x:c r="E173" s="43" t="str">
        <x:v>Administrative / archival</x:v>
      </x:c>
      <x:c r="F173" s="43" t="str">
        <x:v>Observed-to-expected within-group mixing; segregation index; low–high separation</x:v>
      </x:c>
      <x:c r="G173" s="43" t="str">
        <x:v>Moderate</x:v>
      </x:c>
      <x:c r="H173" s="43" t="str">
        <x:v>Network statistics are meaningful only relative to a defined node set, edge relation, direction, weighting, and observation window. Preserve node set, edge relation, direction, weighting, and observation window.</x:v>
      </x:c>
      <x:c r="I173" s="43" t="str">
        <x:v>SRC233; SRC260; SRC270</x:v>
      </x:c>
    </x:row>
    <x:row r="174" ht="62" customHeight="1">
      <x:c r="A174" s="43" t="str">
        <x:v>OP-SOC-0170</x:v>
      </x:c>
      <x:c r="B174" s="43" t="str">
        <x:v>SOC-057</x:v>
      </x:c>
      <x:c r="C174" s="43" t="str">
        <x:v>Network Segregation</x:v>
      </x:c>
      <x:c r="D174" s="43" t="str">
        <x:v>Roster-based network assessment: exposure index</x:v>
      </x:c>
      <x:c r="E174" s="43" t="str">
        <x:v>Self-report / assessment</x:v>
      </x:c>
      <x:c r="F174" s="43" t="str">
        <x:v>Observed-to-expected within-group mixing; segregation index; low–high separation</x:v>
      </x:c>
      <x:c r="G174" s="43" t="str">
        <x:v>Moderate</x:v>
      </x:c>
      <x:c r="H174" s="43" t="str">
        <x:v>Network statistics are meaningful only relative to a defined node set, edge relation, direction, weighting, and observation window. Assess nonresponse, recall limits, asymmetric nominations, and boundary sensitivity.</x:v>
      </x:c>
      <x:c r="I174" s="43" t="str">
        <x:v>SRC233; SRC260; SRC270</x:v>
      </x:c>
    </x:row>
    <x:row r="175" ht="62" customHeight="1">
      <x:c r="A175" s="43" t="str">
        <x:v>OP-SOC-0171</x:v>
      </x:c>
      <x:c r="B175" s="43" t="str">
        <x:v>SOC-057</x:v>
      </x:c>
      <x:c r="C175" s="43" t="str">
        <x:v>Network Segregation</x:v>
      </x:c>
      <x:c r="D175" s="43" t="str">
        <x:v>Reconstructed or modeled network indicator: mixing matrix</x:v>
      </x:c>
      <x:c r="E175" s="43" t="str">
        <x:v>Other</x:v>
      </x:c>
      <x:c r="F175" s="43" t="str">
        <x:v>Graph statistic, temporal-network estimate, or exposure reconstruction with uncertainty</x:v>
      </x:c>
      <x:c r="G175" s="43" t="str">
        <x:v>Moderate</x:v>
      </x:c>
      <x:c r="H175" s="43" t="str">
        <x:v>Network statistics are meaningful only relative to a defined node set, edge relation, direction, weighting, and observation window. Report model assumptions, missingness, temporal ordering, and sensitivity to alternative specifications.</x:v>
      </x:c>
      <x:c r="I175" s="43" t="str">
        <x:v>SRC233; SRC260; SRC270</x:v>
      </x:c>
    </x:row>
    <x:row r="176" ht="62" customHeight="1">
      <x:c r="A176" s="43" t="str">
        <x:v>OP-SOC-0172</x:v>
      </x:c>
      <x:c r="B176" s="43" t="str">
        <x:v>SOC-058</x:v>
      </x:c>
      <x:c r="C176" s="43" t="str">
        <x:v>Network Exposure Proportion</x:v>
      </x:c>
      <x:c r="D176" s="43" t="str">
        <x:v>Network or trace measure: Adopting neighbors divided by observed neighbors</x:v>
      </x:c>
      <x:c r="E176" s="43" t="str">
        <x:v>Administrative / archival</x:v>
      </x:c>
      <x:c r="F176" s="43" t="str">
        <x:v>0–1 or 0–100% of relevant neighbors displaying the target</x:v>
      </x:c>
      <x:c r="G176" s="43" t="str">
        <x:v>High</x:v>
      </x:c>
      <x:c r="H176" s="43" t="str">
        <x:v>Exposure is not equivalent to attention, influence, or adoption; observational contagion estimates are vulnerable to homophily and shared-context confounding. Preserve node set, edge relation, direction, weighting, and observation window.</x:v>
      </x:c>
      <x:c r="I176" s="43" t="str">
        <x:v>SRC235; SRC236; SRC237</x:v>
      </x:c>
    </x:row>
    <x:row r="177" ht="62" customHeight="1">
      <x:c r="A177" s="43" t="str">
        <x:v>OP-SOC-0173</x:v>
      </x:c>
      <x:c r="B177" s="43" t="str">
        <x:v>SOC-058</x:v>
      </x:c>
      <x:c r="C177" s="43" t="str">
        <x:v>Network Exposure Proportion</x:v>
      </x:c>
      <x:c r="D177" s="43" t="str">
        <x:v>Roster-based network assessment: weighted-neighbor prevalence</x:v>
      </x:c>
      <x:c r="E177" s="43" t="str">
        <x:v>Self-report / assessment</x:v>
      </x:c>
      <x:c r="F177" s="43" t="str">
        <x:v>0–1 or 0–100% of relevant neighbors displaying the target</x:v>
      </x:c>
      <x:c r="G177" s="43" t="str">
        <x:v>High</x:v>
      </x:c>
      <x:c r="H177" s="43" t="str">
        <x:v>Exposure is not equivalent to attention, influence, or adoption; observational contagion estimates are vulnerable to homophily and shared-context confounding. Assess nonresponse, recall limits, asymmetric nominations, and boundary sensitivity.</x:v>
      </x:c>
      <x:c r="I177" s="43" t="str">
        <x:v>SRC235; SRC236; SRC237</x:v>
      </x:c>
    </x:row>
    <x:row r="178" ht="62" customHeight="1">
      <x:c r="A178" s="43" t="str">
        <x:v>OP-SOC-0174</x:v>
      </x:c>
      <x:c r="B178" s="43" t="str">
        <x:v>SOC-058</x:v>
      </x:c>
      <x:c r="C178" s="43" t="str">
        <x:v>Network Exposure Proportion</x:v>
      </x:c>
      <x:c r="D178" s="43" t="str">
        <x:v>Reconstructed or modeled network indicator: Adopting neighbors divided by observed neighbors</x:v>
      </x:c>
      <x:c r="E178" s="43" t="str">
        <x:v>Other</x:v>
      </x:c>
      <x:c r="F178" s="43" t="str">
        <x:v>Graph statistic, temporal-network estimate, or exposure reconstruction with uncertainty</x:v>
      </x:c>
      <x:c r="G178" s="43" t="str">
        <x:v>High</x:v>
      </x:c>
      <x:c r="H178" s="43" t="str">
        <x:v>Exposure is not equivalent to attention, influence, or adoption; observational contagion estimates are vulnerable to homophily and shared-context confounding. Report model assumptions, missingness, temporal ordering, and sensitivity to alternative specifications.</x:v>
      </x:c>
      <x:c r="I178" s="43" t="str">
        <x:v>SRC235; SRC236; SRC237</x:v>
      </x:c>
    </x:row>
    <x:row r="179" ht="62" customHeight="1">
      <x:c r="A179" s="43" t="str">
        <x:v>OP-SOC-0175</x:v>
      </x:c>
      <x:c r="B179" s="43" t="str">
        <x:v>SOC-059</x:v>
      </x:c>
      <x:c r="C179" s="43" t="str">
        <x:v>Exposure Frequency</x:v>
      </x:c>
      <x:c r="D179" s="43" t="str">
        <x:v>Network or trace measure: Time-stamped exposures</x:v>
      </x:c>
      <x:c r="E179" s="43" t="str">
        <x:v>Administrative / archival</x:v>
      </x:c>
      <x:c r="F179" s="43" t="str">
        <x:v>Exposure events per hour, day, or week; weighted encounter count</x:v>
      </x:c>
      <x:c r="G179" s="43" t="str">
        <x:v>High</x:v>
      </x:c>
      <x:c r="H179" s="43" t="str">
        <x:v>Exposure is not equivalent to attention, influence, or adoption; observational contagion estimates are vulnerable to homophily and shared-context confounding. Preserve node set, edge relation, direction, weighting, and observation window.</x:v>
      </x:c>
      <x:c r="I179" s="43" t="str">
        <x:v>SRC235; SRC236; SRC237</x:v>
      </x:c>
    </x:row>
    <x:row r="180" ht="62" customHeight="1">
      <x:c r="A180" s="43" t="str">
        <x:v>OP-SOC-0176</x:v>
      </x:c>
      <x:c r="B180" s="43" t="str">
        <x:v>SOC-059</x:v>
      </x:c>
      <x:c r="C180" s="43" t="str">
        <x:v>Exposure Frequency</x:v>
      </x:c>
      <x:c r="D180" s="43" t="str">
        <x:v>Roster-based network assessment: feed or communication encounters</x:v>
      </x:c>
      <x:c r="E180" s="43" t="str">
        <x:v>Self-report / assessment</x:v>
      </x:c>
      <x:c r="F180" s="43" t="str">
        <x:v>Exposure events per hour, day, or week; weighted encounter count</x:v>
      </x:c>
      <x:c r="G180" s="43" t="str">
        <x:v>High</x:v>
      </x:c>
      <x:c r="H180" s="43" t="str">
        <x:v>Exposure is not equivalent to attention, influence, or adoption; observational contagion estimates are vulnerable to homophily and shared-context confounding. Assess nonresponse, recall limits, asymmetric nominations, and boundary sensitivity.</x:v>
      </x:c>
      <x:c r="I180" s="43" t="str">
        <x:v>SRC235; SRC236; SRC237</x:v>
      </x:c>
    </x:row>
    <x:row r="181" ht="62" customHeight="1">
      <x:c r="A181" s="43" t="str">
        <x:v>OP-SOC-0177</x:v>
      </x:c>
      <x:c r="B181" s="43" t="str">
        <x:v>SOC-059</x:v>
      </x:c>
      <x:c r="C181" s="43" t="str">
        <x:v>Exposure Frequency</x:v>
      </x:c>
      <x:c r="D181" s="43" t="str">
        <x:v>Reconstructed or modeled network indicator: contact diary</x:v>
      </x:c>
      <x:c r="E181" s="43" t="str">
        <x:v>Other</x:v>
      </x:c>
      <x:c r="F181" s="43" t="str">
        <x:v>Graph statistic, temporal-network estimate, or exposure reconstruction with uncertainty</x:v>
      </x:c>
      <x:c r="G181" s="43" t="str">
        <x:v>High</x:v>
      </x:c>
      <x:c r="H181" s="43" t="str">
        <x:v>Exposure is not equivalent to attention, influence, or adoption; observational contagion estimates are vulnerable to homophily and shared-context confounding. Report model assumptions, missingness, temporal ordering, and sensitivity to alternative specifications.</x:v>
      </x:c>
      <x:c r="I181" s="43" t="str">
        <x:v>SRC235; SRC236; SRC237</x:v>
      </x:c>
    </x:row>
    <x:row r="182" ht="62" customHeight="1">
      <x:c r="A182" s="43" t="str">
        <x:v>OP-SOC-0178</x:v>
      </x:c>
      <x:c r="B182" s="43" t="str">
        <x:v>SOC-060</x:v>
      </x:c>
      <x:c r="C182" s="43" t="str">
        <x:v>Independent Exposure Source Count</x:v>
      </x:c>
      <x:c r="D182" s="43" t="str">
        <x:v>Network or trace measure: Distinct exposing alters</x:v>
      </x:c>
      <x:c r="E182" s="43" t="str">
        <x:v>Administrative / archival</x:v>
      </x:c>
      <x:c r="F182" s="43" t="str">
        <x:v>Distinct alters or communities providing the signal; independence-adjusted count</x:v>
      </x:c>
      <x:c r="G182" s="43" t="str">
        <x:v>High</x:v>
      </x:c>
      <x:c r="H182" s="43" t="str">
        <x:v>Exposure is not equivalent to attention, influence, or adoption; observational contagion estimates are vulnerable to homophily and shared-context confounding. Preserve node set, edge relation, direction, weighting, and observation window.</x:v>
      </x:c>
      <x:c r="I182" s="43" t="str">
        <x:v>SRC235; SRC236; SRC254</x:v>
      </x:c>
    </x:row>
    <x:row r="183" ht="62" customHeight="1">
      <x:c r="A183" s="43" t="str">
        <x:v>OP-SOC-0179</x:v>
      </x:c>
      <x:c r="B183" s="43" t="str">
        <x:v>SOC-060</x:v>
      </x:c>
      <x:c r="C183" s="43" t="str">
        <x:v>Independent Exposure Source Count</x:v>
      </x:c>
      <x:c r="D183" s="43" t="str">
        <x:v>Roster-based network assessment: exposing-community count</x:v>
      </x:c>
      <x:c r="E183" s="43" t="str">
        <x:v>Self-report / assessment</x:v>
      </x:c>
      <x:c r="F183" s="43" t="str">
        <x:v>Distinct alters or communities providing the signal; independence-adjusted count</x:v>
      </x:c>
      <x:c r="G183" s="43" t="str">
        <x:v>High</x:v>
      </x:c>
      <x:c r="H183" s="43" t="str">
        <x:v>Exposure is not equivalent to attention, influence, or adoption; observational contagion estimates are vulnerable to homophily and shared-context confounding. Assess nonresponse, recall limits, asymmetric nominations, and boundary sensitivity.</x:v>
      </x:c>
      <x:c r="I183" s="43" t="str">
        <x:v>SRC235; SRC236; SRC254</x:v>
      </x:c>
    </x:row>
    <x:row r="184" ht="62" customHeight="1">
      <x:c r="A184" s="43" t="str">
        <x:v>OP-SOC-0180</x:v>
      </x:c>
      <x:c r="B184" s="43" t="str">
        <x:v>SOC-060</x:v>
      </x:c>
      <x:c r="C184" s="43" t="str">
        <x:v>Independent Exposure Source Count</x:v>
      </x:c>
      <x:c r="D184" s="43" t="str">
        <x:v>Reconstructed or modeled network indicator: source-overlap adjustment</x:v>
      </x:c>
      <x:c r="E184" s="43" t="str">
        <x:v>Other</x:v>
      </x:c>
      <x:c r="F184" s="43" t="str">
        <x:v>Graph statistic, temporal-network estimate, or exposure reconstruction with uncertainty</x:v>
      </x:c>
      <x:c r="G184" s="43" t="str">
        <x:v>High</x:v>
      </x:c>
      <x:c r="H184" s="43" t="str">
        <x:v>Exposure is not equivalent to attention, influence, or adoption; observational contagion estimates are vulnerable to homophily and shared-context confounding. Report model assumptions, missingness, temporal ordering, and sensitivity to alternative specifications.</x:v>
      </x:c>
      <x:c r="I184" s="43" t="str">
        <x:v>SRC235; SRC236; SRC254</x:v>
      </x:c>
    </x:row>
    <x:row r="185" ht="62" customHeight="1">
      <x:c r="A185" s="43" t="str">
        <x:v>OP-SOC-0181</x:v>
      </x:c>
      <x:c r="B185" s="43" t="str">
        <x:v>SOC-061</x:v>
      </x:c>
      <x:c r="C185" s="43" t="str">
        <x:v>Social Reinforcement Multiplicity</x:v>
      </x:c>
      <x:c r="D185" s="43" t="str">
        <x:v>Network or trace measure: Reinforcing-neighbor count</x:v>
      </x:c>
      <x:c r="E185" s="43" t="str">
        <x:v>Administrative / archival</x:v>
      </x:c>
      <x:c r="F185" s="43" t="str">
        <x:v>Number of reinforcing neighbors within a defined decision window</x:v>
      </x:c>
      <x:c r="G185" s="43" t="str">
        <x:v>High</x:v>
      </x:c>
      <x:c r="H185" s="43" t="str">
        <x:v>Exposure is not equivalent to attention, influence, or adoption; observational contagion estimates are vulnerable to homophily and shared-context confounding. Preserve node set, edge relation, direction, weighting, and observation window.</x:v>
      </x:c>
      <x:c r="I185" s="43" t="str">
        <x:v>SRC235; SRC250</x:v>
      </x:c>
    </x:row>
    <x:row r="186" ht="62" customHeight="1">
      <x:c r="A186" s="43" t="str">
        <x:v>OP-SOC-0182</x:v>
      </x:c>
      <x:c r="B186" s="43" t="str">
        <x:v>SOC-061</x:v>
      </x:c>
      <x:c r="C186" s="43" t="str">
        <x:v>Social Reinforcement Multiplicity</x:v>
      </x:c>
      <x:c r="D186" s="43" t="str">
        <x:v>Roster-based network assessment: exposures before adoption</x:v>
      </x:c>
      <x:c r="E186" s="43" t="str">
        <x:v>Self-report / assessment</x:v>
      </x:c>
      <x:c r="F186" s="43" t="str">
        <x:v>Number of reinforcing neighbors within a defined decision window</x:v>
      </x:c>
      <x:c r="G186" s="43" t="str">
        <x:v>High</x:v>
      </x:c>
      <x:c r="H186" s="43" t="str">
        <x:v>Exposure is not equivalent to attention, influence, or adoption; observational contagion estimates are vulnerable to homophily and shared-context confounding. Assess nonresponse, recall limits, asymmetric nominations, and boundary sensitivity.</x:v>
      </x:c>
      <x:c r="I186" s="43" t="str">
        <x:v>SRC235; SRC250</x:v>
      </x:c>
    </x:row>
    <x:row r="187" ht="62" customHeight="1">
      <x:c r="A187" s="43" t="str">
        <x:v>OP-SOC-0183</x:v>
      </x:c>
      <x:c r="B187" s="43" t="str">
        <x:v>SOC-061</x:v>
      </x:c>
      <x:c r="C187" s="43" t="str">
        <x:v>Social Reinforcement Multiplicity</x:v>
      </x:c>
      <x:c r="D187" s="43" t="str">
        <x:v>Reconstructed or modeled network indicator: clustered confirmation</x:v>
      </x:c>
      <x:c r="E187" s="43" t="str">
        <x:v>Other</x:v>
      </x:c>
      <x:c r="F187" s="43" t="str">
        <x:v>Graph statistic, temporal-network estimate, or exposure reconstruction with uncertainty</x:v>
      </x:c>
      <x:c r="G187" s="43" t="str">
        <x:v>High</x:v>
      </x:c>
      <x:c r="H187" s="43" t="str">
        <x:v>Exposure is not equivalent to attention, influence, or adoption; observational contagion estimates are vulnerable to homophily and shared-context confounding. Report model assumptions, missingness, temporal ordering, and sensitivity to alternative specifications.</x:v>
      </x:c>
      <x:c r="I187" s="43" t="str">
        <x:v>SRC235; SRC250</x:v>
      </x:c>
    </x:row>
    <x:row r="188" ht="62" customHeight="1">
      <x:c r="A188" s="43" t="str">
        <x:v>OP-SOC-0184</x:v>
      </x:c>
      <x:c r="B188" s="43" t="str">
        <x:v>SOC-062</x:v>
      </x:c>
      <x:c r="C188" s="43" t="str">
        <x:v>Influential-Referent Exposure</x:v>
      </x:c>
      <x:c r="D188" s="43" t="str">
        <x:v>Network or trace measure: Exposure from high-centrality alters</x:v>
      </x:c>
      <x:c r="E188" s="43" t="str">
        <x:v>Administrative / archival</x:v>
      </x:c>
      <x:c r="F188" s="43" t="str">
        <x:v>Centrality-weighted exposure; influential-alter encounters per period</x:v>
      </x:c>
      <x:c r="G188" s="43" t="str">
        <x:v>High</x:v>
      </x:c>
      <x:c r="H188" s="43" t="str">
        <x:v>Exposure is not equivalent to attention, influence, or adoption; observational contagion estimates are vulnerable to homophily and shared-context confounding. Preserve node set, edge relation, direction, weighting, and observation window.</x:v>
      </x:c>
      <x:c r="I188" s="43" t="str">
        <x:v>SRC236; SRC250; SRC237</x:v>
      </x:c>
    </x:row>
    <x:row r="189" ht="62" customHeight="1">
      <x:c r="A189" s="43" t="str">
        <x:v>OP-SOC-0185</x:v>
      </x:c>
      <x:c r="B189" s="43" t="str">
        <x:v>SOC-062</x:v>
      </x:c>
      <x:c r="C189" s="43" t="str">
        <x:v>Influential-Referent Exposure</x:v>
      </x:c>
      <x:c r="D189" s="43" t="str">
        <x:v>Roster-based network assessment: referent-weighted signal count</x:v>
      </x:c>
      <x:c r="E189" s="43" t="str">
        <x:v>Self-report / assessment</x:v>
      </x:c>
      <x:c r="F189" s="43" t="str">
        <x:v>Centrality-weighted exposure; influential-alter encounters per period</x:v>
      </x:c>
      <x:c r="G189" s="43" t="str">
        <x:v>High</x:v>
      </x:c>
      <x:c r="H189" s="43" t="str">
        <x:v>Exposure is not equivalent to attention, influence, or adoption; observational contagion estimates are vulnerable to homophily and shared-context confounding. Assess nonresponse, recall limits, asymmetric nominations, and boundary sensitivity.</x:v>
      </x:c>
      <x:c r="I189" s="43" t="str">
        <x:v>SRC236; SRC250; SRC237</x:v>
      </x:c>
    </x:row>
    <x:row r="190" ht="62" customHeight="1">
      <x:c r="A190" s="43" t="str">
        <x:v>OP-SOC-0186</x:v>
      </x:c>
      <x:c r="B190" s="43" t="str">
        <x:v>SOC-062</x:v>
      </x:c>
      <x:c r="C190" s="43" t="str">
        <x:v>Influential-Referent Exposure</x:v>
      </x:c>
      <x:c r="D190" s="43" t="str">
        <x:v>Reconstructed or modeled network indicator: Exposure from high-centrality alters</x:v>
      </x:c>
      <x:c r="E190" s="43" t="str">
        <x:v>Other</x:v>
      </x:c>
      <x:c r="F190" s="43" t="str">
        <x:v>Graph statistic, temporal-network estimate, or exposure reconstruction with uncertainty</x:v>
      </x:c>
      <x:c r="G190" s="43" t="str">
        <x:v>High</x:v>
      </x:c>
      <x:c r="H190" s="43" t="str">
        <x:v>Exposure is not equivalent to attention, influence, or adoption; observational contagion estimates are vulnerable to homophily and shared-context confounding. Report model assumptions, missingness, temporal ordering, and sensitivity to alternative specifications.</x:v>
      </x:c>
      <x:c r="I190" s="43" t="str">
        <x:v>SRC236; SRC250; SRC237</x:v>
      </x:c>
    </x:row>
    <x:row r="191" ht="62" customHeight="1">
      <x:c r="A191" s="43" t="str">
        <x:v>OP-SOC-0187</x:v>
      </x:c>
      <x:c r="B191" s="43" t="str">
        <x:v>SOC-063</x:v>
      </x:c>
      <x:c r="C191" s="43" t="str">
        <x:v>Cross-Cluster Exposure</x:v>
      </x:c>
      <x:c r="D191" s="43" t="str">
        <x:v>Network or trace measure: Source-community labels</x:v>
      </x:c>
      <x:c r="E191" s="43" t="str">
        <x:v>Administrative / archival</x:v>
      </x:c>
      <x:c r="F191" s="43" t="str">
        <x:v>Cross-cluster exposures divided by all exposures; events per period</x:v>
      </x:c>
      <x:c r="G191" s="43" t="str">
        <x:v>High</x:v>
      </x:c>
      <x:c r="H191" s="43" t="str">
        <x:v>Exposure is not equivalent to attention, influence, or adoption; observational contagion estimates are vulnerable to homophily and shared-context confounding. Preserve node set, edge relation, direction, weighting, and observation window.</x:v>
      </x:c>
      <x:c r="I191" s="43" t="str">
        <x:v>SRC234; SRC237; SRC269</x:v>
      </x:c>
    </x:row>
    <x:row r="192" ht="62" customHeight="1">
      <x:c r="A192" s="43" t="str">
        <x:v>OP-SOC-0188</x:v>
      </x:c>
      <x:c r="B192" s="43" t="str">
        <x:v>SOC-063</x:v>
      </x:c>
      <x:c r="C192" s="43" t="str">
        <x:v>Cross-Cluster Exposure</x:v>
      </x:c>
      <x:c r="D192" s="43" t="str">
        <x:v>Roster-based network assessment: cross-cluster exposure count</x:v>
      </x:c>
      <x:c r="E192" s="43" t="str">
        <x:v>Self-report / assessment</x:v>
      </x:c>
      <x:c r="F192" s="43" t="str">
        <x:v>Cross-cluster exposures divided by all exposures; events per period</x:v>
      </x:c>
      <x:c r="G192" s="43" t="str">
        <x:v>High</x:v>
      </x:c>
      <x:c r="H192" s="43" t="str">
        <x:v>Exposure is not equivalent to attention, influence, or adoption; observational contagion estimates are vulnerable to homophily and shared-context confounding. Assess nonresponse, recall limits, asymmetric nominations, and boundary sensitivity.</x:v>
      </x:c>
      <x:c r="I192" s="43" t="str">
        <x:v>SRC234; SRC237; SRC269</x:v>
      </x:c>
    </x:row>
    <x:row r="193" ht="62" customHeight="1">
      <x:c r="A193" s="43" t="str">
        <x:v>OP-SOC-0189</x:v>
      </x:c>
      <x:c r="B193" s="43" t="str">
        <x:v>SOC-063</x:v>
      </x:c>
      <x:c r="C193" s="43" t="str">
        <x:v>Cross-Cluster Exposure</x:v>
      </x:c>
      <x:c r="D193" s="43" t="str">
        <x:v>Reconstructed or modeled network indicator: external-neighbor share</x:v>
      </x:c>
      <x:c r="E193" s="43" t="str">
        <x:v>Other</x:v>
      </x:c>
      <x:c r="F193" s="43" t="str">
        <x:v>Graph statistic, temporal-network estimate, or exposure reconstruction with uncertainty</x:v>
      </x:c>
      <x:c r="G193" s="43" t="str">
        <x:v>High</x:v>
      </x:c>
      <x:c r="H193" s="43" t="str">
        <x:v>Exposure is not equivalent to attention, influence, or adoption; observational contagion estimates are vulnerable to homophily and shared-context confounding. Report model assumptions, missingness, temporal ordering, and sensitivity to alternative specifications.</x:v>
      </x:c>
      <x:c r="I193" s="43" t="str">
        <x:v>SRC234; SRC237; SRC269</x:v>
      </x:c>
    </x:row>
    <x:row r="194" ht="62" customHeight="1">
      <x:c r="A194" s="43" t="str">
        <x:v>OP-SOC-0190</x:v>
      </x:c>
      <x:c r="B194" s="43" t="str">
        <x:v>SOC-064</x:v>
      </x:c>
      <x:c r="C194" s="43" t="str">
        <x:v>Group Size</x:v>
      </x:c>
      <x:c r="D194" s="43" t="str">
        <x:v>Construct-specific social assessment: Roster count</x:v>
      </x:c>
      <x:c r="E194" s="43" t="str">
        <x:v>Self-report / assessment</x:v>
      </x:c>
      <x:c r="F194" s="43" t="str">
        <x:v>Active-member count; average or maximum concurrent membership</x:v>
      </x:c>
      <x:c r="G194" s="43" t="str">
        <x:v>Moderate</x:v>
      </x:c>
      <x:c r="H194" s="43" t="str">
        <x:v>Individual reports require justified aggregation; group composition, emergent states, processes, and outcomes must remain distinct. Use an explicit social referent, unit of analysis, behavior, setting, and time window.</x:v>
      </x:c>
      <x:c r="I194" s="43" t="str">
        <x:v>SRC239; SRC240; SRC262</x:v>
      </x:c>
    </x:row>
    <x:row r="195" ht="62" customHeight="1">
      <x:c r="A195" s="43" t="str">
        <x:v>OP-SOC-0191</x:v>
      </x:c>
      <x:c r="B195" s="43" t="str">
        <x:v>SOC-064</x:v>
      </x:c>
      <x:c r="C195" s="43" t="str">
        <x:v>Group Size</x:v>
      </x:c>
      <x:c r="D195" s="43" t="str">
        <x:v>Observed relational or group indicator: attendance</x:v>
      </x:c>
      <x:c r="E195" s="43" t="str">
        <x:v>Behavioral / clinical assessment</x:v>
      </x:c>
      <x:c r="F195" s="43" t="str">
        <x:v>Active-member count; average or maximum concurrent membership</x:v>
      </x:c>
      <x:c r="G195" s="43" t="str">
        <x:v>Moderate</x:v>
      </x:c>
      <x:c r="H195" s="43" t="str">
        <x:v>Individual reports require justified aggregation; group composition, emergent states, processes, and outcomes must remain distinct. Observation is an indicator and should be triangulated across actors or episodes where feasible.</x:v>
      </x:c>
      <x:c r="I195" s="43" t="str">
        <x:v>SRC239; SRC240; SRC262</x:v>
      </x:c>
    </x:row>
    <x:row r="196" ht="62" customHeight="1">
      <x:c r="A196" s="43" t="str">
        <x:v>OP-SOC-0192</x:v>
      </x:c>
      <x:c r="B196" s="43" t="str">
        <x:v>SOC-064</x:v>
      </x:c>
      <x:c r="C196" s="43" t="str">
        <x:v>Group Size</x:v>
      </x:c>
      <x:c r="D196" s="43" t="str">
        <x:v>Administrative, roster, or interaction record: active participant count</x:v>
      </x:c>
      <x:c r="E196" s="43" t="str">
        <x:v>Administrative / archival</x:v>
      </x:c>
      <x:c r="F196" s="43" t="str">
        <x:v>Active-member count; average or maximum concurrent membership</x:v>
      </x:c>
      <x:c r="G196" s="43" t="str">
        <x:v>Moderate</x:v>
      </x:c>
      <x:c r="H196" s="43" t="str">
        <x:v>Individual reports require justified aggregation; group composition, emergent states, processes, and outcomes must remain distinct. Coverage, opportunity, missingness, and selection into the recorded setting must be documented.</x:v>
      </x:c>
      <x:c r="I196" s="43" t="str">
        <x:v>SRC239; SRC240; SRC262</x:v>
      </x:c>
    </x:row>
    <x:row r="197" ht="62" customHeight="1">
      <x:c r="A197" s="43" t="str">
        <x:v>OP-SOC-0193</x:v>
      </x:c>
      <x:c r="B197" s="43" t="str">
        <x:v>SOC-065</x:v>
      </x:c>
      <x:c r="C197" s="43" t="str">
        <x:v>Group Cohesion</x:v>
      </x:c>
      <x:c r="D197" s="43" t="str">
        <x:v>Construct-specific social assessment: Task-cohesion ratings</x:v>
      </x:c>
      <x:c r="E197" s="43" t="str">
        <x:v>Self-report / assessment</x:v>
      </x:c>
      <x:c r="F197" s="43" t="str">
        <x:v>Task and social cohesion dimensions; referent-shift group score</x:v>
      </x:c>
      <x:c r="G197" s="43" t="str">
        <x:v>Moderate</x:v>
      </x:c>
      <x:c r="H197" s="43" t="str">
        <x:v>Individual reports require justified aggregation; group composition, emergent states, processes, and outcomes must remain distinct. Use an explicit social referent, unit of analysis, behavior, setting, and time window.</x:v>
      </x:c>
      <x:c r="I197" s="43" t="str">
        <x:v>SRC243; SRC259; SRC262</x:v>
      </x:c>
    </x:row>
    <x:row r="198" ht="62" customHeight="1">
      <x:c r="A198" s="43" t="str">
        <x:v>OP-SOC-0194</x:v>
      </x:c>
      <x:c r="B198" s="43" t="str">
        <x:v>SOC-065</x:v>
      </x:c>
      <x:c r="C198" s="43" t="str">
        <x:v>Group Cohesion</x:v>
      </x:c>
      <x:c r="D198" s="43" t="str">
        <x:v>Observed relational or group indicator: social-cohesion ratings</x:v>
      </x:c>
      <x:c r="E198" s="43" t="str">
        <x:v>Behavioral / clinical assessment</x:v>
      </x:c>
      <x:c r="F198" s="43" t="str">
        <x:v>Task and social cohesion dimensions; referent-shift group score</x:v>
      </x:c>
      <x:c r="G198" s="43" t="str">
        <x:v>Moderate</x:v>
      </x:c>
      <x:c r="H198" s="43" t="str">
        <x:v>Individual reports require justified aggregation; group composition, emergent states, processes, and outcomes must remain distinct. Observation is an indicator and should be triangulated across actors or episodes where feasible.</x:v>
      </x:c>
      <x:c r="I198" s="43" t="str">
        <x:v>SRC243; SRC259; SRC262</x:v>
      </x:c>
    </x:row>
    <x:row r="199" ht="62" customHeight="1">
      <x:c r="A199" s="43" t="str">
        <x:v>OP-SOC-0195</x:v>
      </x:c>
      <x:c r="B199" s="43" t="str">
        <x:v>SOC-065</x:v>
      </x:c>
      <x:c r="C199" s="43" t="str">
        <x:v>Group Cohesion</x:v>
      </x:c>
      <x:c r="D199" s="43" t="str">
        <x:v>Administrative, roster, or interaction record: retention</x:v>
      </x:c>
      <x:c r="E199" s="43" t="str">
        <x:v>Administrative / archival</x:v>
      </x:c>
      <x:c r="F199" s="43" t="str">
        <x:v>Task and social cohesion dimensions; referent-shift group score</x:v>
      </x:c>
      <x:c r="G199" s="43" t="str">
        <x:v>Moderate</x:v>
      </x:c>
      <x:c r="H199" s="43" t="str">
        <x:v>Individual reports require justified aggregation; group composition, emergent states, processes, and outcomes must remain distinct. Coverage, opportunity, missingness, and selection into the recorded setting must be documented.</x:v>
      </x:c>
      <x:c r="I199" s="43" t="str">
        <x:v>SRC243; SRC259; SRC262</x:v>
      </x:c>
    </x:row>
    <x:row r="200" ht="62" customHeight="1">
      <x:c r="A200" s="43" t="str">
        <x:v>OP-SOC-0196</x:v>
      </x:c>
      <x:c r="B200" s="43" t="str">
        <x:v>SOC-066</x:v>
      </x:c>
      <x:c r="C200" s="43" t="str">
        <x:v>Member Turnover Rate</x:v>
      </x:c>
      <x:c r="D200" s="43" t="str">
        <x:v>Construct-specific social assessment: Roster transitions</x:v>
      </x:c>
      <x:c r="E200" s="43" t="str">
        <x:v>Self-report / assessment</x:v>
      </x:c>
      <x:c r="F200" s="43" t="str">
        <x:v>Exits plus entries per member-period; proportion replaced per month or year</x:v>
      </x:c>
      <x:c r="G200" s="43" t="str">
        <x:v>Moderate</x:v>
      </x:c>
      <x:c r="H200" s="43" t="str">
        <x:v>Individual reports require justified aggregation; group composition, emergent states, processes, and outcomes must remain distinct. Use an explicit social referent, unit of analysis, behavior, setting, and time window.</x:v>
      </x:c>
      <x:c r="I200" s="43" t="str">
        <x:v>SRC254; SRC262</x:v>
      </x:c>
    </x:row>
    <x:row r="201" ht="62" customHeight="1">
      <x:c r="A201" s="43" t="str">
        <x:v>OP-SOC-0197</x:v>
      </x:c>
      <x:c r="B201" s="43" t="str">
        <x:v>SOC-066</x:v>
      </x:c>
      <x:c r="C201" s="43" t="str">
        <x:v>Member Turnover Rate</x:v>
      </x:c>
      <x:c r="D201" s="43" t="str">
        <x:v>Observed relational or group indicator: entry and exit events</x:v>
      </x:c>
      <x:c r="E201" s="43" t="str">
        <x:v>Behavioral / clinical assessment</x:v>
      </x:c>
      <x:c r="F201" s="43" t="str">
        <x:v>Exits plus entries per member-period; proportion replaced per month or year</x:v>
      </x:c>
      <x:c r="G201" s="43" t="str">
        <x:v>Moderate</x:v>
      </x:c>
      <x:c r="H201" s="43" t="str">
        <x:v>Individual reports require justified aggregation; group composition, emergent states, processes, and outcomes must remain distinct. Observation is an indicator and should be triangulated across actors or episodes where feasible.</x:v>
      </x:c>
      <x:c r="I201" s="43" t="str">
        <x:v>SRC254; SRC262</x:v>
      </x:c>
    </x:row>
    <x:row r="202" ht="62" customHeight="1">
      <x:c r="A202" s="43" t="str">
        <x:v>OP-SOC-0198</x:v>
      </x:c>
      <x:c r="B202" s="43" t="str">
        <x:v>SOC-066</x:v>
      </x:c>
      <x:c r="C202" s="43" t="str">
        <x:v>Member Turnover Rate</x:v>
      </x:c>
      <x:c r="D202" s="43" t="str">
        <x:v>Administrative, roster, or interaction record: tenure distribution</x:v>
      </x:c>
      <x:c r="E202" s="43" t="str">
        <x:v>Administrative / archival</x:v>
      </x:c>
      <x:c r="F202" s="43" t="str">
        <x:v>Exits plus entries per member-period; proportion replaced per month or year</x:v>
      </x:c>
      <x:c r="G202" s="43" t="str">
        <x:v>Moderate</x:v>
      </x:c>
      <x:c r="H202" s="43" t="str">
        <x:v>Individual reports require justified aggregation; group composition, emergent states, processes, and outcomes must remain distinct. Coverage, opportunity, missingness, and selection into the recorded setting must be documented.</x:v>
      </x:c>
      <x:c r="I202" s="43" t="str">
        <x:v>SRC254; SRC262</x:v>
      </x:c>
    </x:row>
    <x:row r="203" ht="62" customHeight="1">
      <x:c r="A203" s="43" t="str">
        <x:v>OP-SOC-0199</x:v>
      </x:c>
      <x:c r="B203" s="43" t="str">
        <x:v>SOC-067</x:v>
      </x:c>
      <x:c r="C203" s="43" t="str">
        <x:v>Role Differentiation</x:v>
      </x:c>
      <x:c r="D203" s="43" t="str">
        <x:v>Construct-specific social assessment: Distinct role count</x:v>
      </x:c>
      <x:c r="E203" s="43" t="str">
        <x:v>Self-report / assessment</x:v>
      </x:c>
      <x:c r="F203" s="43" t="str">
        <x:v>Role-diversity index; specialization score; low–high differentiation</x:v>
      </x:c>
      <x:c r="G203" s="43" t="str">
        <x:v>Moderate</x:v>
      </x:c>
      <x:c r="H203" s="43" t="str">
        <x:v>Individual reports require justified aggregation; group composition, emergent states, processes, and outcomes must remain distinct. Use an explicit social referent, unit of analysis, behavior, setting, and time window.</x:v>
      </x:c>
      <x:c r="I203" s="43" t="str">
        <x:v>SRC262; SRC267</x:v>
      </x:c>
    </x:row>
    <x:row r="204" ht="62" customHeight="1">
      <x:c r="A204" s="43" t="str">
        <x:v>OP-SOC-0200</x:v>
      </x:c>
      <x:c r="B204" s="43" t="str">
        <x:v>SOC-067</x:v>
      </x:c>
      <x:c r="C204" s="43" t="str">
        <x:v>Role Differentiation</x:v>
      </x:c>
      <x:c r="D204" s="43" t="str">
        <x:v>Observed relational or group indicator: role overlap</x:v>
      </x:c>
      <x:c r="E204" s="43" t="str">
        <x:v>Behavioral / clinical assessment</x:v>
      </x:c>
      <x:c r="F204" s="43" t="str">
        <x:v>Role-diversity index; specialization score; low–high differentiation</x:v>
      </x:c>
      <x:c r="G204" s="43" t="str">
        <x:v>Moderate</x:v>
      </x:c>
      <x:c r="H204" s="43" t="str">
        <x:v>Individual reports require justified aggregation; group composition, emergent states, processes, and outcomes must remain distinct. Observation is an indicator and should be triangulated across actors or episodes where feasible.</x:v>
      </x:c>
      <x:c r="I204" s="43" t="str">
        <x:v>SRC262; SRC267</x:v>
      </x:c>
    </x:row>
    <x:row r="205" ht="62" customHeight="1">
      <x:c r="A205" s="43" t="str">
        <x:v>OP-SOC-0201</x:v>
      </x:c>
      <x:c r="B205" s="43" t="str">
        <x:v>SOC-067</x:v>
      </x:c>
      <x:c r="C205" s="43" t="str">
        <x:v>Role Differentiation</x:v>
      </x:c>
      <x:c r="D205" s="43" t="str">
        <x:v>Administrative, roster, or interaction record: specialization matrix</x:v>
      </x:c>
      <x:c r="E205" s="43" t="str">
        <x:v>Administrative / archival</x:v>
      </x:c>
      <x:c r="F205" s="43" t="str">
        <x:v>Role-diversity index; specialization score; low–high differentiation</x:v>
      </x:c>
      <x:c r="G205" s="43" t="str">
        <x:v>Moderate</x:v>
      </x:c>
      <x:c r="H205" s="43" t="str">
        <x:v>Individual reports require justified aggregation; group composition, emergent states, processes, and outcomes must remain distinct. Coverage, opportunity, missingness, and selection into the recorded setting must be documented.</x:v>
      </x:c>
      <x:c r="I205" s="43" t="str">
        <x:v>SRC262; SRC267</x:v>
      </x:c>
    </x:row>
    <x:row r="206" ht="62" customHeight="1">
      <x:c r="A206" s="43" t="str">
        <x:v>OP-SOC-0202</x:v>
      </x:c>
      <x:c r="B206" s="43" t="str">
        <x:v>SOC-068</x:v>
      </x:c>
      <x:c r="C206" s="43" t="str">
        <x:v>Opinion Diversity</x:v>
      </x:c>
      <x:c r="D206" s="43" t="str">
        <x:v>Construct-specific social assessment: Position variance</x:v>
      </x:c>
      <x:c r="E206" s="43" t="str">
        <x:v>Self-report / assessment</x:v>
      </x:c>
      <x:c r="F206" s="43" t="str">
        <x:v>Variance, range, entropy, or categorical diversity of issue positions</x:v>
      </x:c>
      <x:c r="G206" s="43" t="str">
        <x:v>Moderate</x:v>
      </x:c>
      <x:c r="H206" s="43" t="str">
        <x:v>Individual reports require justified aggregation; group composition, emergent states, processes, and outcomes must remain distinct. Use an explicit social referent, unit of analysis, behavior, setting, and time window.</x:v>
      </x:c>
      <x:c r="I206" s="43" t="str">
        <x:v>SRC242; SRC214; SRC271</x:v>
      </x:c>
    </x:row>
    <x:row r="207" ht="62" customHeight="1">
      <x:c r="A207" s="43" t="str">
        <x:v>OP-SOC-0203</x:v>
      </x:c>
      <x:c r="B207" s="43" t="str">
        <x:v>SOC-068</x:v>
      </x:c>
      <x:c r="C207" s="43" t="str">
        <x:v>Opinion Diversity</x:v>
      </x:c>
      <x:c r="D207" s="43" t="str">
        <x:v>Observed relational or group indicator: viewpoint categories</x:v>
      </x:c>
      <x:c r="E207" s="43" t="str">
        <x:v>Behavioral / clinical assessment</x:v>
      </x:c>
      <x:c r="F207" s="43" t="str">
        <x:v>Variance, range, entropy, or categorical diversity of issue positions</x:v>
      </x:c>
      <x:c r="G207" s="43" t="str">
        <x:v>Moderate</x:v>
      </x:c>
      <x:c r="H207" s="43" t="str">
        <x:v>Individual reports require justified aggregation; group composition, emergent states, processes, and outcomes must remain distinct. Observation is an indicator and should be triangulated across actors or episodes where feasible.</x:v>
      </x:c>
      <x:c r="I207" s="43" t="str">
        <x:v>SRC242; SRC214; SRC271</x:v>
      </x:c>
    </x:row>
    <x:row r="208" ht="62" customHeight="1">
      <x:c r="A208" s="43" t="str">
        <x:v>OP-SOC-0204</x:v>
      </x:c>
      <x:c r="B208" s="43" t="str">
        <x:v>SOC-068</x:v>
      </x:c>
      <x:c r="C208" s="43" t="str">
        <x:v>Opinion Diversity</x:v>
      </x:c>
      <x:c r="D208" s="43" t="str">
        <x:v>Administrative, roster, or interaction record: preference distribution</x:v>
      </x:c>
      <x:c r="E208" s="43" t="str">
        <x:v>Administrative / archival</x:v>
      </x:c>
      <x:c r="F208" s="43" t="str">
        <x:v>Variance, range, entropy, or categorical diversity of issue positions</x:v>
      </x:c>
      <x:c r="G208" s="43" t="str">
        <x:v>Moderate</x:v>
      </x:c>
      <x:c r="H208" s="43" t="str">
        <x:v>Individual reports require justified aggregation; group composition, emergent states, processes, and outcomes must remain distinct. Coverage, opportunity, missingness, and selection into the recorded setting must be documented.</x:v>
      </x:c>
      <x:c r="I208" s="43" t="str">
        <x:v>SRC242; SRC214; SRC271</x:v>
      </x:c>
    </x:row>
    <x:row r="209" ht="62" customHeight="1">
      <x:c r="A209" s="43" t="str">
        <x:v>OP-SOC-0205</x:v>
      </x:c>
      <x:c r="B209" s="43" t="str">
        <x:v>SOC-069</x:v>
      </x:c>
      <x:c r="C209" s="43" t="str">
        <x:v>Dissent Availability</x:v>
      </x:c>
      <x:c r="D209" s="43" t="str">
        <x:v>Construct-specific social assessment: Dissenter count</x:v>
      </x:c>
      <x:c r="E209" s="43" t="str">
        <x:v>Self-report / assessment</x:v>
      </x:c>
      <x:c r="F209" s="43" t="str">
        <x:v>Visible dissenters; dissent statements per meeting; accessible alternative positions</x:v>
      </x:c>
      <x:c r="G209" s="43" t="str">
        <x:v>Moderate</x:v>
      </x:c>
      <x:c r="H209" s="43" t="str">
        <x:v>Individual reports require justified aggregation; group composition, emergent states, processes, and outcomes must remain distinct. Use an explicit social referent, unit of analysis, behavior, setting, and time window.</x:v>
      </x:c>
      <x:c r="I209" s="43" t="str">
        <x:v>SRC213; SRC214; SRC271</x:v>
      </x:c>
    </x:row>
    <x:row r="210" ht="62" customHeight="1">
      <x:c r="A210" s="43" t="str">
        <x:v>OP-SOC-0206</x:v>
      </x:c>
      <x:c r="B210" s="43" t="str">
        <x:v>SOC-069</x:v>
      </x:c>
      <x:c r="C210" s="43" t="str">
        <x:v>Dissent Availability</x:v>
      </x:c>
      <x:c r="D210" s="43" t="str">
        <x:v>Observed relational or group indicator: minority statements</x:v>
      </x:c>
      <x:c r="E210" s="43" t="str">
        <x:v>Behavioral / clinical assessment</x:v>
      </x:c>
      <x:c r="F210" s="43" t="str">
        <x:v>Visible dissenters; dissent statements per meeting; accessible alternative positions</x:v>
      </x:c>
      <x:c r="G210" s="43" t="str">
        <x:v>Moderate</x:v>
      </x:c>
      <x:c r="H210" s="43" t="str">
        <x:v>Individual reports require justified aggregation; group composition, emergent states, processes, and outcomes must remain distinct. Observation is an indicator and should be triangulated across actors or episodes where feasible.</x:v>
      </x:c>
      <x:c r="I210" s="43" t="str">
        <x:v>SRC213; SRC214; SRC271</x:v>
      </x:c>
    </x:row>
    <x:row r="211" ht="62" customHeight="1">
      <x:c r="A211" s="43" t="str">
        <x:v>OP-SOC-0207</x:v>
      </x:c>
      <x:c r="B211" s="43" t="str">
        <x:v>SOC-069</x:v>
      </x:c>
      <x:c r="C211" s="43" t="str">
        <x:v>Dissent Availability</x:v>
      </x:c>
      <x:c r="D211" s="43" t="str">
        <x:v>Administrative, roster, or interaction record: invitations to challenge</x:v>
      </x:c>
      <x:c r="E211" s="43" t="str">
        <x:v>Administrative / archival</x:v>
      </x:c>
      <x:c r="F211" s="43" t="str">
        <x:v>Visible dissenters; dissent statements per meeting; accessible alternative positions</x:v>
      </x:c>
      <x:c r="G211" s="43" t="str">
        <x:v>Moderate</x:v>
      </x:c>
      <x:c r="H211" s="43" t="str">
        <x:v>Individual reports require justified aggregation; group composition, emergent states, processes, and outcomes must remain distinct. Coverage, opportunity, missingness, and selection into the recorded setting must be documented.</x:v>
      </x:c>
      <x:c r="I211" s="43" t="str">
        <x:v>SRC213; SRC214; SRC271</x:v>
      </x:c>
    </x:row>
    <x:row r="212" ht="62" customHeight="1">
      <x:c r="A212" s="43" t="str">
        <x:v>OP-SOC-0208</x:v>
      </x:c>
      <x:c r="B212" s="43" t="str">
        <x:v>SOC-070</x:v>
      </x:c>
      <x:c r="C212" s="43" t="str">
        <x:v>Communication Participation Equality</x:v>
      </x:c>
      <x:c r="D212" s="43" t="str">
        <x:v>Construct-specific social assessment: Turn distribution</x:v>
      </x:c>
      <x:c r="E212" s="43" t="str">
        <x:v>Self-report / assessment</x:v>
      </x:c>
      <x:c r="F212" s="43" t="str">
        <x:v>Inverse concentration of turns or speaking time; participation Gini reversed</x:v>
      </x:c>
      <x:c r="G212" s="43" t="str">
        <x:v>Moderate</x:v>
      </x:c>
      <x:c r="H212" s="43" t="str">
        <x:v>Individual reports require justified aggregation; group composition, emergent states, processes, and outcomes must remain distinct. Use an explicit social referent, unit of analysis, behavior, setting, and time window.</x:v>
      </x:c>
      <x:c r="I212" s="43" t="str">
        <x:v>SRC263; SRC267</x:v>
      </x:c>
    </x:row>
    <x:row r="213" ht="62" customHeight="1">
      <x:c r="A213" s="43" t="str">
        <x:v>OP-SOC-0209</x:v>
      </x:c>
      <x:c r="B213" s="43" t="str">
        <x:v>SOC-070</x:v>
      </x:c>
      <x:c r="C213" s="43" t="str">
        <x:v>Communication Participation Equality</x:v>
      </x:c>
      <x:c r="D213" s="43" t="str">
        <x:v>Observed relational or group indicator: speaking-time shares</x:v>
      </x:c>
      <x:c r="E213" s="43" t="str">
        <x:v>Behavioral / clinical assessment</x:v>
      </x:c>
      <x:c r="F213" s="43" t="str">
        <x:v>Inverse concentration of turns or speaking time; participation Gini reversed</x:v>
      </x:c>
      <x:c r="G213" s="43" t="str">
        <x:v>Moderate</x:v>
      </x:c>
      <x:c r="H213" s="43" t="str">
        <x:v>Individual reports require justified aggregation; group composition, emergent states, processes, and outcomes must remain distinct. Observation is an indicator and should be triangulated across actors or episodes where feasible.</x:v>
      </x:c>
      <x:c r="I213" s="43" t="str">
        <x:v>SRC263; SRC267</x:v>
      </x:c>
    </x:row>
    <x:row r="214" ht="62" customHeight="1">
      <x:c r="A214" s="43" t="str">
        <x:v>OP-SOC-0210</x:v>
      </x:c>
      <x:c r="B214" s="43" t="str">
        <x:v>SOC-070</x:v>
      </x:c>
      <x:c r="C214" s="43" t="str">
        <x:v>Communication Participation Equality</x:v>
      </x:c>
      <x:c r="D214" s="43" t="str">
        <x:v>Administrative, roster, or interaction record: message contribution equality</x:v>
      </x:c>
      <x:c r="E214" s="43" t="str">
        <x:v>Administrative / archival</x:v>
      </x:c>
      <x:c r="F214" s="43" t="str">
        <x:v>Inverse concentration of turns or speaking time; participation Gini reversed</x:v>
      </x:c>
      <x:c r="G214" s="43" t="str">
        <x:v>Moderate</x:v>
      </x:c>
      <x:c r="H214" s="43" t="str">
        <x:v>Individual reports require justified aggregation; group composition, emergent states, processes, and outcomes must remain distinct. Coverage, opportunity, missingness, and selection into the recorded setting must be documented.</x:v>
      </x:c>
      <x:c r="I214" s="43" t="str">
        <x:v>SRC263; SRC267</x:v>
      </x:c>
    </x:row>
    <x:row r="215" ht="62" customHeight="1">
      <x:c r="A215" s="43" t="str">
        <x:v>OP-SOC-0211</x:v>
      </x:c>
      <x:c r="B215" s="43" t="str">
        <x:v>SOC-071</x:v>
      </x:c>
      <x:c r="C215" s="43" t="str">
        <x:v>Shared Information Coverage</x:v>
      </x:c>
      <x:c r="D215" s="43" t="str">
        <x:v>Construct-specific social assessment: Unique facts mentioned</x:v>
      </x:c>
      <x:c r="E215" s="43" t="str">
        <x:v>Self-report / assessment</x:v>
      </x:c>
      <x:c r="F215" s="43" t="str">
        <x:v>Discussed unique information divided by all task-relevant distributed information</x:v>
      </x:c>
      <x:c r="G215" s="43" t="str">
        <x:v>Moderate</x:v>
      </x:c>
      <x:c r="H215" s="43" t="str">
        <x:v>Individual reports require justified aggregation; group composition, emergent states, processes, and outcomes must remain distinct. Use an explicit social referent, unit of analysis, behavior, setting, and time window.</x:v>
      </x:c>
      <x:c r="I215" s="43" t="str">
        <x:v>SRC263; SRC267</x:v>
      </x:c>
    </x:row>
    <x:row r="216" ht="62" customHeight="1">
      <x:c r="A216" s="43" t="str">
        <x:v>OP-SOC-0212</x:v>
      </x:c>
      <x:c r="B216" s="43" t="str">
        <x:v>SOC-071</x:v>
      </x:c>
      <x:c r="C216" s="43" t="str">
        <x:v>Shared Information Coverage</x:v>
      </x:c>
      <x:c r="D216" s="43" t="str">
        <x:v>Observed relational or group indicator: discussion coverage</x:v>
      </x:c>
      <x:c r="E216" s="43" t="str">
        <x:v>Behavioral / clinical assessment</x:v>
      </x:c>
      <x:c r="F216" s="43" t="str">
        <x:v>Discussed unique information divided by all task-relevant distributed information</x:v>
      </x:c>
      <x:c r="G216" s="43" t="str">
        <x:v>Moderate</x:v>
      </x:c>
      <x:c r="H216" s="43" t="str">
        <x:v>Individual reports require justified aggregation; group composition, emergent states, processes, and outcomes must remain distinct. Observation is an indicator and should be triangulated across actors or episodes where feasible.</x:v>
      </x:c>
      <x:c r="I216" s="43" t="str">
        <x:v>SRC263; SRC267</x:v>
      </x:c>
    </x:row>
    <x:row r="217" ht="62" customHeight="1">
      <x:c r="A217" s="43" t="str">
        <x:v>OP-SOC-0213</x:v>
      </x:c>
      <x:c r="B217" s="43" t="str">
        <x:v>SOC-071</x:v>
      </x:c>
      <x:c r="C217" s="43" t="str">
        <x:v>Shared Information Coverage</x:v>
      </x:c>
      <x:c r="D217" s="43" t="str">
        <x:v>Administrative, roster, or interaction record: member-knowledge contribution</x:v>
      </x:c>
      <x:c r="E217" s="43" t="str">
        <x:v>Administrative / archival</x:v>
      </x:c>
      <x:c r="F217" s="43" t="str">
        <x:v>Discussed unique information divided by all task-relevant distributed information</x:v>
      </x:c>
      <x:c r="G217" s="43" t="str">
        <x:v>Moderate</x:v>
      </x:c>
      <x:c r="H217" s="43" t="str">
        <x:v>Individual reports require justified aggregation; group composition, emergent states, processes, and outcomes must remain distinct. Coverage, opportunity, missingness, and selection into the recorded setting must be documented.</x:v>
      </x:c>
      <x:c r="I217" s="43" t="str">
        <x:v>SRC263; SRC267</x:v>
      </x:c>
    </x:row>
    <x:row r="218" ht="62" customHeight="1">
      <x:c r="A218" s="43" t="str">
        <x:v>OP-SOC-0214</x:v>
      </x:c>
      <x:c r="B218" s="43" t="str">
        <x:v>SOC-072</x:v>
      </x:c>
      <x:c r="C218" s="43" t="str">
        <x:v>Subgroup Fractionalization</x:v>
      </x:c>
      <x:c r="D218" s="43" t="str">
        <x:v>Construct-specific social assessment: Community structure</x:v>
      </x:c>
      <x:c r="E218" s="43" t="str">
        <x:v>Self-report / assessment</x:v>
      </x:c>
      <x:c r="F218" s="43" t="str">
        <x:v>Community modularity; faultline strength; subgroup separation index</x:v>
      </x:c>
      <x:c r="G218" s="43" t="str">
        <x:v>Moderate</x:v>
      </x:c>
      <x:c r="H218" s="43" t="str">
        <x:v>Individual reports require justified aggregation; group composition, emergent states, processes, and outcomes must remain distinct. Use an explicit social referent, unit of analysis, behavior, setting, and time window.</x:v>
      </x:c>
      <x:c r="I218" s="43" t="str">
        <x:v>SRC254; SRC267; SRC233</x:v>
      </x:c>
    </x:row>
    <x:row r="219" ht="62" customHeight="1">
      <x:c r="A219" s="43" t="str">
        <x:v>OP-SOC-0215</x:v>
      </x:c>
      <x:c r="B219" s="43" t="str">
        <x:v>SOC-072</x:v>
      </x:c>
      <x:c r="C219" s="43" t="str">
        <x:v>Subgroup Fractionalization</x:v>
      </x:c>
      <x:c r="D219" s="43" t="str">
        <x:v>Observed relational or group indicator: cross-subgroup ties</x:v>
      </x:c>
      <x:c r="E219" s="43" t="str">
        <x:v>Behavioral / clinical assessment</x:v>
      </x:c>
      <x:c r="F219" s="43" t="str">
        <x:v>Community modularity; faultline strength; subgroup separation index</x:v>
      </x:c>
      <x:c r="G219" s="43" t="str">
        <x:v>Moderate</x:v>
      </x:c>
      <x:c r="H219" s="43" t="str">
        <x:v>Individual reports require justified aggregation; group composition, emergent states, processes, and outcomes must remain distinct. Observation is an indicator and should be triangulated across actors or episodes where feasible.</x:v>
      </x:c>
      <x:c r="I219" s="43" t="str">
        <x:v>SRC254; SRC267; SRC233</x:v>
      </x:c>
    </x:row>
    <x:row r="220" ht="62" customHeight="1">
      <x:c r="A220" s="43" t="str">
        <x:v>OP-SOC-0216</x:v>
      </x:c>
      <x:c r="B220" s="43" t="str">
        <x:v>SOC-072</x:v>
      </x:c>
      <x:c r="C220" s="43" t="str">
        <x:v>Subgroup Fractionalization</x:v>
      </x:c>
      <x:c r="D220" s="43" t="str">
        <x:v>Administrative, roster, or interaction record: aligned attribute cleavages</x:v>
      </x:c>
      <x:c r="E220" s="43" t="str">
        <x:v>Administrative / archival</x:v>
      </x:c>
      <x:c r="F220" s="43" t="str">
        <x:v>Community modularity; faultline strength; subgroup separation index</x:v>
      </x:c>
      <x:c r="G220" s="43" t="str">
        <x:v>Moderate</x:v>
      </x:c>
      <x:c r="H220" s="43" t="str">
        <x:v>Individual reports require justified aggregation; group composition, emergent states, processes, and outcomes must remain distinct. Coverage, opportunity, missingness, and selection into the recorded setting must be documented.</x:v>
      </x:c>
      <x:c r="I220" s="43" t="str">
        <x:v>SRC254; SRC267; SRC233</x:v>
      </x:c>
    </x:row>
    <x:row r="221" ht="62" customHeight="1">
      <x:c r="A221" s="43" t="str">
        <x:v>OP-SOC-0217</x:v>
      </x:c>
      <x:c r="B221" s="43" t="str">
        <x:v>SOC-073</x:v>
      </x:c>
      <x:c r="C221" s="43" t="str">
        <x:v>Task Interdependence</x:v>
      </x:c>
      <x:c r="D221" s="43" t="str">
        <x:v>Construct-specific social assessment: Workflow dependencies</x:v>
      </x:c>
      <x:c r="E221" s="43" t="str">
        <x:v>Self-report / assessment</x:v>
      </x:c>
      <x:c r="F221" s="43" t="str">
        <x:v>Independent–pooled–sequential–reciprocal interdependence; low–high coupling</x:v>
      </x:c>
      <x:c r="G221" s="43" t="str">
        <x:v>Moderate</x:v>
      </x:c>
      <x:c r="H221" s="43" t="str">
        <x:v>Shared belief, shared information, common knowledge, mutual expectations, and objective capability are related but not equivalent. Use an explicit social referent, unit of analysis, behavior, setting, and time window.</x:v>
      </x:c>
      <x:c r="I221" s="43" t="str">
        <x:v>SRC259; SRC261; SRC262</x:v>
      </x:c>
    </x:row>
    <x:row r="222" ht="62" customHeight="1">
      <x:c r="A222" s="43" t="str">
        <x:v>OP-SOC-0218</x:v>
      </x:c>
      <x:c r="B222" s="43" t="str">
        <x:v>SOC-073</x:v>
      </x:c>
      <x:c r="C222" s="43" t="str">
        <x:v>Task Interdependence</x:v>
      </x:c>
      <x:c r="D222" s="43" t="str">
        <x:v>Observed relational or group indicator: handoff count</x:v>
      </x:c>
      <x:c r="E222" s="43" t="str">
        <x:v>Behavioral / clinical assessment</x:v>
      </x:c>
      <x:c r="F222" s="43" t="str">
        <x:v>Independent–pooled–sequential–reciprocal interdependence; low–high coupling</x:v>
      </x:c>
      <x:c r="G222" s="43" t="str">
        <x:v>Moderate</x:v>
      </x:c>
      <x:c r="H222" s="43" t="str">
        <x:v>Shared belief, shared information, common knowledge, mutual expectations, and objective capability are related but not equivalent. Observation is an indicator and should be triangulated across actors or episodes where feasible.</x:v>
      </x:c>
      <x:c r="I222" s="43" t="str">
        <x:v>SRC259; SRC261; SRC262</x:v>
      </x:c>
    </x:row>
    <x:row r="223" ht="62" customHeight="1">
      <x:c r="A223" s="43" t="str">
        <x:v>OP-SOC-0219</x:v>
      </x:c>
      <x:c r="B223" s="43" t="str">
        <x:v>SOC-073</x:v>
      </x:c>
      <x:c r="C223" s="43" t="str">
        <x:v>Task Interdependence</x:v>
      </x:c>
      <x:c r="D223" s="43" t="str">
        <x:v>Administrative, roster, or interaction record: shared-input requirement</x:v>
      </x:c>
      <x:c r="E223" s="43" t="str">
        <x:v>Administrative / archival</x:v>
      </x:c>
      <x:c r="F223" s="43" t="str">
        <x:v>Independent–pooled–sequential–reciprocal interdependence; low–high coupling</x:v>
      </x:c>
      <x:c r="G223" s="43" t="str">
        <x:v>Moderate</x:v>
      </x:c>
      <x:c r="H223" s="43" t="str">
        <x:v>Shared belief, shared information, common knowledge, mutual expectations, and objective capability are related but not equivalent. Coverage, opportunity, missingness, and selection into the recorded setting must be documented.</x:v>
      </x:c>
      <x:c r="I223" s="43" t="str">
        <x:v>SRC259; SRC261; SRC262</x:v>
      </x:c>
    </x:row>
    <x:row r="224" ht="62" customHeight="1">
      <x:c r="A224" s="43" t="str">
        <x:v>OP-SOC-0220</x:v>
      </x:c>
      <x:c r="B224" s="43" t="str">
        <x:v>SOC-074</x:v>
      </x:c>
      <x:c r="C224" s="43" t="str">
        <x:v>Goal Alignment</x:v>
      </x:c>
      <x:c r="D224" s="43" t="str">
        <x:v>Construct-specific social assessment: Goal statements</x:v>
      </x:c>
      <x:c r="E224" s="43" t="str">
        <x:v>Self-report / assessment</x:v>
      </x:c>
      <x:c r="F224" s="43" t="str">
        <x:v>Goal-overlap score; priority-rank agreement; low–high alignment</x:v>
      </x:c>
      <x:c r="G224" s="43" t="str">
        <x:v>Moderate</x:v>
      </x:c>
      <x:c r="H224" s="43" t="str">
        <x:v>Shared belief, shared information, common knowledge, mutual expectations, and objective capability are related but not equivalent. Use an explicit social referent, unit of analysis, behavior, setting, and time window.</x:v>
      </x:c>
      <x:c r="I224" s="43" t="str">
        <x:v>SRC238; SRC261; SRC267</x:v>
      </x:c>
    </x:row>
    <x:row r="225" ht="62" customHeight="1">
      <x:c r="A225" s="43" t="str">
        <x:v>OP-SOC-0221</x:v>
      </x:c>
      <x:c r="B225" s="43" t="str">
        <x:v>SOC-074</x:v>
      </x:c>
      <x:c r="C225" s="43" t="str">
        <x:v>Goal Alignment</x:v>
      </x:c>
      <x:c r="D225" s="43" t="str">
        <x:v>Observed relational or group indicator: priority rankings</x:v>
      </x:c>
      <x:c r="E225" s="43" t="str">
        <x:v>Behavioral / clinical assessment</x:v>
      </x:c>
      <x:c r="F225" s="43" t="str">
        <x:v>Goal-overlap score; priority-rank agreement; low–high alignment</x:v>
      </x:c>
      <x:c r="G225" s="43" t="str">
        <x:v>Moderate</x:v>
      </x:c>
      <x:c r="H225" s="43" t="str">
        <x:v>Shared belief, shared information, common knowledge, mutual expectations, and objective capability are related but not equivalent. Observation is an indicator and should be triangulated across actors or episodes where feasible.</x:v>
      </x:c>
      <x:c r="I225" s="43" t="str">
        <x:v>SRC238; SRC261; SRC267</x:v>
      </x:c>
    </x:row>
    <x:row r="226" ht="62" customHeight="1">
      <x:c r="A226" s="43" t="str">
        <x:v>OP-SOC-0222</x:v>
      </x:c>
      <x:c r="B226" s="43" t="str">
        <x:v>SOC-074</x:v>
      </x:c>
      <x:c r="C226" s="43" t="str">
        <x:v>Goal Alignment</x:v>
      </x:c>
      <x:c r="D226" s="43" t="str">
        <x:v>Administrative, roster, or interaction record: resource-allocation congruence</x:v>
      </x:c>
      <x:c r="E226" s="43" t="str">
        <x:v>Administrative / archival</x:v>
      </x:c>
      <x:c r="F226" s="43" t="str">
        <x:v>Goal-overlap score; priority-rank agreement; low–high alignment</x:v>
      </x:c>
      <x:c r="G226" s="43" t="str">
        <x:v>Moderate</x:v>
      </x:c>
      <x:c r="H226" s="43" t="str">
        <x:v>Shared belief, shared information, common knowledge, mutual expectations, and objective capability are related but not equivalent. Coverage, opportunity, missingness, and selection into the recorded setting must be documented.</x:v>
      </x:c>
      <x:c r="I226" s="43" t="str">
        <x:v>SRC238; SRC261; SRC267</x:v>
      </x:c>
    </x:row>
    <x:row r="227" ht="62" customHeight="1">
      <x:c r="A227" s="43" t="str">
        <x:v>OP-SOC-0223</x:v>
      </x:c>
      <x:c r="B227" s="43" t="str">
        <x:v>SOC-075</x:v>
      </x:c>
      <x:c r="C227" s="43" t="str">
        <x:v>Common Knowledge Degree</x:v>
      </x:c>
      <x:c r="D227" s="43" t="str">
        <x:v>Construct-specific social assessment: Public announcement condition</x:v>
      </x:c>
      <x:c r="E227" s="43" t="str">
        <x:v>Self-report / assessment</x:v>
      </x:c>
      <x:c r="F227" s="43" t="str">
        <x:v>Private–shared–common knowledge condition; recursive-knowledge depth; low–high commonality</x:v>
      </x:c>
      <x:c r="G227" s="43" t="str">
        <x:v>Moderate</x:v>
      </x:c>
      <x:c r="H227" s="43" t="str">
        <x:v>Shared belief, shared information, common knowledge, mutual expectations, and objective capability are related but not equivalent. Use an explicit social referent, unit of analysis, behavior, setting, and time window.</x:v>
      </x:c>
      <x:c r="I227" s="43" t="str">
        <x:v>SRC261; SRC265</x:v>
      </x:c>
    </x:row>
    <x:row r="228" ht="62" customHeight="1">
      <x:c r="A228" s="43" t="str">
        <x:v>OP-SOC-0224</x:v>
      </x:c>
      <x:c r="B228" s="43" t="str">
        <x:v>SOC-075</x:v>
      </x:c>
      <x:c r="C228" s="43" t="str">
        <x:v>Common Knowledge Degree</x:v>
      </x:c>
      <x:c r="D228" s="43" t="str">
        <x:v>Observed relational or group indicator: mutual-knowledge test</x:v>
      </x:c>
      <x:c r="E228" s="43" t="str">
        <x:v>Behavioral / clinical assessment</x:v>
      </x:c>
      <x:c r="F228" s="43" t="str">
        <x:v>Private–shared–common knowledge condition; recursive-knowledge depth; low–high commonality</x:v>
      </x:c>
      <x:c r="G228" s="43" t="str">
        <x:v>Moderate</x:v>
      </x:c>
      <x:c r="H228" s="43" t="str">
        <x:v>Shared belief, shared information, common knowledge, mutual expectations, and objective capability are related but not equivalent. Observation is an indicator and should be triangulated across actors or episodes where feasible.</x:v>
      </x:c>
      <x:c r="I228" s="43" t="str">
        <x:v>SRC261; SRC265</x:v>
      </x:c>
    </x:row>
    <x:row r="229" ht="62" customHeight="1">
      <x:c r="A229" s="43" t="str">
        <x:v>OP-SOC-0225</x:v>
      </x:c>
      <x:c r="B229" s="43" t="str">
        <x:v>SOC-075</x:v>
      </x:c>
      <x:c r="C229" s="43" t="str">
        <x:v>Common Knowledge Degree</x:v>
      </x:c>
      <x:c r="D229" s="43" t="str">
        <x:v>Administrative, roster, or interaction record: recursive belief elicitation</x:v>
      </x:c>
      <x:c r="E229" s="43" t="str">
        <x:v>Administrative / archival</x:v>
      </x:c>
      <x:c r="F229" s="43" t="str">
        <x:v>Private–shared–common knowledge condition; recursive-knowledge depth; low–high commonality</x:v>
      </x:c>
      <x:c r="G229" s="43" t="str">
        <x:v>Moderate</x:v>
      </x:c>
      <x:c r="H229" s="43" t="str">
        <x:v>Shared belief, shared information, common knowledge, mutual expectations, and objective capability are related but not equivalent. Coverage, opportunity, missingness, and selection into the recorded setting must be documented.</x:v>
      </x:c>
      <x:c r="I229" s="43" t="str">
        <x:v>SRC261; SRC265</x:v>
      </x:c>
    </x:row>
    <x:row r="230" ht="62" customHeight="1">
      <x:c r="A230" s="43" t="str">
        <x:v>OP-SOC-0226</x:v>
      </x:c>
      <x:c r="B230" s="43" t="str">
        <x:v>SOC-076</x:v>
      </x:c>
      <x:c r="C230" s="43" t="str">
        <x:v>Mutual Expectation Alignment</x:v>
      </x:c>
      <x:c r="D230" s="43" t="str">
        <x:v>Construct-specific social assessment: Cross-prediction accuracy</x:v>
      </x:c>
      <x:c r="E230" s="43" t="str">
        <x:v>Self-report / assessment</x:v>
      </x:c>
      <x:c r="F230" s="43" t="str">
        <x:v>Pairwise expectation agreement; prediction-consistency score; low–high alignment</x:v>
      </x:c>
      <x:c r="G230" s="43" t="str">
        <x:v>Moderate</x:v>
      </x:c>
      <x:c r="H230" s="43" t="str">
        <x:v>Shared belief, shared information, common knowledge, mutual expectations, and objective capability are related but not equivalent. Use an explicit social referent, unit of analysis, behavior, setting, and time window.</x:v>
      </x:c>
      <x:c r="I230" s="43" t="str">
        <x:v>SRC237; SRC265; SRC238</x:v>
      </x:c>
    </x:row>
    <x:row r="231" ht="62" customHeight="1">
      <x:c r="A231" s="43" t="str">
        <x:v>OP-SOC-0227</x:v>
      </x:c>
      <x:c r="B231" s="43" t="str">
        <x:v>SOC-076</x:v>
      </x:c>
      <x:c r="C231" s="43" t="str">
        <x:v>Mutual Expectation Alignment</x:v>
      </x:c>
      <x:c r="D231" s="43" t="str">
        <x:v>Observed relational or group indicator: expectation matrices</x:v>
      </x:c>
      <x:c r="E231" s="43" t="str">
        <x:v>Behavioral / clinical assessment</x:v>
      </x:c>
      <x:c r="F231" s="43" t="str">
        <x:v>Pairwise expectation agreement; prediction-consistency score; low–high alignment</x:v>
      </x:c>
      <x:c r="G231" s="43" t="str">
        <x:v>Moderate</x:v>
      </x:c>
      <x:c r="H231" s="43" t="str">
        <x:v>Shared belief, shared information, common knowledge, mutual expectations, and objective capability are related but not equivalent. Observation is an indicator and should be triangulated across actors or episodes where feasible.</x:v>
      </x:c>
      <x:c r="I231" s="43" t="str">
        <x:v>SRC237; SRC265; SRC238</x:v>
      </x:c>
    </x:row>
    <x:row r="232" ht="62" customHeight="1">
      <x:c r="A232" s="43" t="str">
        <x:v>OP-SOC-0228</x:v>
      </x:c>
      <x:c r="B232" s="43" t="str">
        <x:v>SOC-076</x:v>
      </x:c>
      <x:c r="C232" s="43" t="str">
        <x:v>Mutual Expectation Alignment</x:v>
      </x:c>
      <x:c r="D232" s="43" t="str">
        <x:v>Administrative, roster, or interaction record: coordination-choice convergence</x:v>
      </x:c>
      <x:c r="E232" s="43" t="str">
        <x:v>Administrative / archival</x:v>
      </x:c>
      <x:c r="F232" s="43" t="str">
        <x:v>Pairwise expectation agreement; prediction-consistency score; low–high alignment</x:v>
      </x:c>
      <x:c r="G232" s="43" t="str">
        <x:v>Moderate</x:v>
      </x:c>
      <x:c r="H232" s="43" t="str">
        <x:v>Shared belief, shared information, common knowledge, mutual expectations, and objective capability are related but not equivalent. Coverage, opportunity, missingness, and selection into the recorded setting must be documented.</x:v>
      </x:c>
      <x:c r="I232" s="43" t="str">
        <x:v>SRC237; SRC265; SRC238</x:v>
      </x:c>
    </x:row>
    <x:row r="233" ht="62" customHeight="1">
      <x:c r="A233" s="43" t="str">
        <x:v>OP-SOC-0229</x:v>
      </x:c>
      <x:c r="B233" s="43" t="str">
        <x:v>SOC-077</x:v>
      </x:c>
      <x:c r="C233" s="43" t="str">
        <x:v>Collective Efficacy</x:v>
      </x:c>
      <x:c r="D233" s="43" t="str">
        <x:v>Construct-specific social assessment: Group-referent efficacy items</x:v>
      </x:c>
      <x:c r="E233" s="43" t="str">
        <x:v>Self-report / assessment</x:v>
      </x:c>
      <x:c r="F233" s="43" t="str">
        <x:v>Referent-shift low–high collective-efficacy scale; within-group agreement reported</x:v>
      </x:c>
      <x:c r="G233" s="43" t="str">
        <x:v>Moderate</x:v>
      </x:c>
      <x:c r="H233" s="43" t="str">
        <x:v>Shared belief, shared information, common knowledge, mutual expectations, and objective capability are related but not equivalent. Use an explicit social referent, unit of analysis, behavior, setting, and time window.</x:v>
      </x:c>
      <x:c r="I233" s="43" t="str">
        <x:v>SRC238; SRC218</x:v>
      </x:c>
    </x:row>
    <x:row r="234" ht="62" customHeight="1">
      <x:c r="A234" s="43" t="str">
        <x:v>OP-SOC-0230</x:v>
      </x:c>
      <x:c r="B234" s="43" t="str">
        <x:v>SOC-077</x:v>
      </x:c>
      <x:c r="C234" s="43" t="str">
        <x:v>Collective Efficacy</x:v>
      </x:c>
      <x:c r="D234" s="43" t="str">
        <x:v>Observed relational or group indicator: within-group agreement</x:v>
      </x:c>
      <x:c r="E234" s="43" t="str">
        <x:v>Behavioral / clinical assessment</x:v>
      </x:c>
      <x:c r="F234" s="43" t="str">
        <x:v>Referent-shift low–high collective-efficacy scale; within-group agreement reported</x:v>
      </x:c>
      <x:c r="G234" s="43" t="str">
        <x:v>Moderate</x:v>
      </x:c>
      <x:c r="H234" s="43" t="str">
        <x:v>Shared belief, shared information, common knowledge, mutual expectations, and objective capability are related but not equivalent. Observation is an indicator and should be triangulated across actors or episodes where feasible.</x:v>
      </x:c>
      <x:c r="I234" s="43" t="str">
        <x:v>SRC238; SRC218</x:v>
      </x:c>
    </x:row>
    <x:row r="235" ht="62" customHeight="1">
      <x:c r="A235" s="43" t="str">
        <x:v>OP-SOC-0231</x:v>
      </x:c>
      <x:c r="B235" s="43" t="str">
        <x:v>SOC-077</x:v>
      </x:c>
      <x:c r="C235" s="43" t="str">
        <x:v>Collective Efficacy</x:v>
      </x:c>
      <x:c r="D235" s="43" t="str">
        <x:v>Administrative, roster, or interaction record: collective persistence</x:v>
      </x:c>
      <x:c r="E235" s="43" t="str">
        <x:v>Administrative / archival</x:v>
      </x:c>
      <x:c r="F235" s="43" t="str">
        <x:v>Referent-shift low–high collective-efficacy scale; within-group agreement reported</x:v>
      </x:c>
      <x:c r="G235" s="43" t="str">
        <x:v>Moderate</x:v>
      </x:c>
      <x:c r="H235" s="43" t="str">
        <x:v>Shared belief, shared information, common knowledge, mutual expectations, and objective capability are related but not equivalent. Coverage, opportunity, missingness, and selection into the recorded setting must be documented.</x:v>
      </x:c>
      <x:c r="I235" s="43" t="str">
        <x:v>SRC238; SRC218</x:v>
      </x:c>
    </x:row>
    <x:row r="236" ht="62" customHeight="1">
      <x:c r="A236" s="43" t="str">
        <x:v>OP-SOC-0232</x:v>
      </x:c>
      <x:c r="B236" s="43" t="str">
        <x:v>SOC-078</x:v>
      </x:c>
      <x:c r="C236" s="43" t="str">
        <x:v>Role Clarity</x:v>
      </x:c>
      <x:c r="D236" s="43" t="str">
        <x:v>Construct-specific social assessment: Role descriptions</x:v>
      </x:c>
      <x:c r="E236" s="43" t="str">
        <x:v>Self-report / assessment</x:v>
      </x:c>
      <x:c r="F236" s="43" t="str">
        <x:v>Low–high clarity; role-overlap or ambiguity inverse; responsibility-map completeness</x:v>
      </x:c>
      <x:c r="G236" s="43" t="str">
        <x:v>Moderate</x:v>
      </x:c>
      <x:c r="H236" s="43" t="str">
        <x:v>Shared belief, shared information, common knowledge, mutual expectations, and objective capability are related but not equivalent. Use an explicit social referent, unit of analysis, behavior, setting, and time window.</x:v>
      </x:c>
      <x:c r="I236" s="43" t="str">
        <x:v>SRC262; SRC267</x:v>
      </x:c>
    </x:row>
    <x:row r="237" ht="62" customHeight="1">
      <x:c r="A237" s="43" t="str">
        <x:v>OP-SOC-0233</x:v>
      </x:c>
      <x:c r="B237" s="43" t="str">
        <x:v>SOC-078</x:v>
      </x:c>
      <x:c r="C237" s="43" t="str">
        <x:v>Role Clarity</x:v>
      </x:c>
      <x:c r="D237" s="43" t="str">
        <x:v>Observed relational or group indicator: assignment agreement</x:v>
      </x:c>
      <x:c r="E237" s="43" t="str">
        <x:v>Behavioral / clinical assessment</x:v>
      </x:c>
      <x:c r="F237" s="43" t="str">
        <x:v>Low–high clarity; role-overlap or ambiguity inverse; responsibility-map completeness</x:v>
      </x:c>
      <x:c r="G237" s="43" t="str">
        <x:v>Moderate</x:v>
      </x:c>
      <x:c r="H237" s="43" t="str">
        <x:v>Shared belief, shared information, common knowledge, mutual expectations, and objective capability are related but not equivalent. Observation is an indicator and should be triangulated across actors or episodes where feasible.</x:v>
      </x:c>
      <x:c r="I237" s="43" t="str">
        <x:v>SRC262; SRC267</x:v>
      </x:c>
    </x:row>
    <x:row r="238" ht="62" customHeight="1">
      <x:c r="A238" s="43" t="str">
        <x:v>OP-SOC-0234</x:v>
      </x:c>
      <x:c r="B238" s="43" t="str">
        <x:v>SOC-078</x:v>
      </x:c>
      <x:c r="C238" s="43" t="str">
        <x:v>Role Clarity</x:v>
      </x:c>
      <x:c r="D238" s="43" t="str">
        <x:v>Administrative, roster, or interaction record: ambiguity ratings</x:v>
      </x:c>
      <x:c r="E238" s="43" t="str">
        <x:v>Administrative / archival</x:v>
      </x:c>
      <x:c r="F238" s="43" t="str">
        <x:v>Low–high clarity; role-overlap or ambiguity inverse; responsibility-map completeness</x:v>
      </x:c>
      <x:c r="G238" s="43" t="str">
        <x:v>Moderate</x:v>
      </x:c>
      <x:c r="H238" s="43" t="str">
        <x:v>Shared belief, shared information, common knowledge, mutual expectations, and objective capability are related but not equivalent. Coverage, opportunity, missingness, and selection into the recorded setting must be documented.</x:v>
      </x:c>
      <x:c r="I238" s="43" t="str">
        <x:v>SRC262; SRC267</x:v>
      </x:c>
    </x:row>
    <x:row r="239" ht="62" customHeight="1">
      <x:c r="A239" s="43" t="str">
        <x:v>OP-SOC-0235</x:v>
      </x:c>
      <x:c r="B239" s="43" t="str">
        <x:v>SOC-079</x:v>
      </x:c>
      <x:c r="C239" s="43" t="str">
        <x:v>Contribution Identifiability</x:v>
      </x:c>
      <x:c r="D239" s="43" t="str">
        <x:v>Construct-specific social assessment: Named contribution log</x:v>
      </x:c>
      <x:c r="E239" s="43" t="str">
        <x:v>Self-report / assessment</x:v>
      </x:c>
      <x:c r="F239" s="43" t="str">
        <x:v>Anonymous–partly attributable–fully attributable; traceability score</x:v>
      </x:c>
      <x:c r="G239" s="43" t="str">
        <x:v>Moderate</x:v>
      </x:c>
      <x:c r="H239" s="43" t="str">
        <x:v>Shared belief, shared information, common knowledge, mutual expectations, and objective capability are related but not equivalent. Use an explicit social referent, unit of analysis, behavior, setting, and time window.</x:v>
      </x:c>
      <x:c r="I239" s="43" t="str">
        <x:v>SRC240; SRC229</x:v>
      </x:c>
    </x:row>
    <x:row r="240" ht="62" customHeight="1">
      <x:c r="A240" s="43" t="str">
        <x:v>OP-SOC-0236</x:v>
      </x:c>
      <x:c r="B240" s="43" t="str">
        <x:v>SOC-079</x:v>
      </x:c>
      <x:c r="C240" s="43" t="str">
        <x:v>Contribution Identifiability</x:v>
      </x:c>
      <x:c r="D240" s="43" t="str">
        <x:v>Observed relational or group indicator: individual output</x:v>
      </x:c>
      <x:c r="E240" s="43" t="str">
        <x:v>Behavioral / clinical assessment</x:v>
      </x:c>
      <x:c r="F240" s="43" t="str">
        <x:v>Anonymous–partly attributable–fully attributable; traceability score</x:v>
      </x:c>
      <x:c r="G240" s="43" t="str">
        <x:v>Moderate</x:v>
      </x:c>
      <x:c r="H240" s="43" t="str">
        <x:v>Shared belief, shared information, common knowledge, mutual expectations, and objective capability are related but not equivalent. Observation is an indicator and should be triangulated across actors or episodes where feasible.</x:v>
      </x:c>
      <x:c r="I240" s="43" t="str">
        <x:v>SRC240; SRC229</x:v>
      </x:c>
    </x:row>
    <x:row r="241" ht="62" customHeight="1">
      <x:c r="A241" s="43" t="str">
        <x:v>OP-SOC-0237</x:v>
      </x:c>
      <x:c r="B241" s="43" t="str">
        <x:v>SOC-079</x:v>
      </x:c>
      <x:c r="C241" s="43" t="str">
        <x:v>Contribution Identifiability</x:v>
      </x:c>
      <x:c r="D241" s="43" t="str">
        <x:v>Administrative, roster, or interaction record: attribution accuracy</x:v>
      </x:c>
      <x:c r="E241" s="43" t="str">
        <x:v>Administrative / archival</x:v>
      </x:c>
      <x:c r="F241" s="43" t="str">
        <x:v>Anonymous–partly attributable–fully attributable; traceability score</x:v>
      </x:c>
      <x:c r="G241" s="43" t="str">
        <x:v>Moderate</x:v>
      </x:c>
      <x:c r="H241" s="43" t="str">
        <x:v>Shared belief, shared information, common knowledge, mutual expectations, and objective capability are related but not equivalent. Coverage, opportunity, missingness, and selection into the recorded setting must be documented.</x:v>
      </x:c>
      <x:c r="I241" s="43" t="str">
        <x:v>SRC240; SRC229</x:v>
      </x:c>
    </x:row>
    <x:row r="242" ht="62" customHeight="1">
      <x:c r="A242" s="43" t="str">
        <x:v>OP-SOC-0238</x:v>
      </x:c>
      <x:c r="B242" s="43" t="str">
        <x:v>SOC-080</x:v>
      </x:c>
      <x:c r="C242" s="43" t="str">
        <x:v>Responsibility Concentration</x:v>
      </x:c>
      <x:c r="D242" s="43" t="str">
        <x:v>Construct-specific social assessment: Named duty holder</x:v>
      </x:c>
      <x:c r="E242" s="43" t="str">
        <x:v>Self-report / assessment</x:v>
      </x:c>
      <x:c r="F242" s="43" t="str">
        <x:v>Diffuse–shared–assigned responsibility; concentration index</x:v>
      </x:c>
      <x:c r="G242" s="43" t="str">
        <x:v>Moderate</x:v>
      </x:c>
      <x:c r="H242" s="43" t="str">
        <x:v>Shared belief, shared information, common knowledge, mutual expectations, and objective capability are related but not equivalent. Use an explicit social referent, unit of analysis, behavior, setting, and time window.</x:v>
      </x:c>
      <x:c r="I242" s="43" t="str">
        <x:v>SRC239; SRC229</x:v>
      </x:c>
    </x:row>
    <x:row r="243" ht="62" customHeight="1">
      <x:c r="A243" s="43" t="str">
        <x:v>OP-SOC-0239</x:v>
      </x:c>
      <x:c r="B243" s="43" t="str">
        <x:v>SOC-080</x:v>
      </x:c>
      <x:c r="C243" s="43" t="str">
        <x:v>Responsibility Concentration</x:v>
      </x:c>
      <x:c r="D243" s="43" t="str">
        <x:v>Observed relational or group indicator: responsibility nominations</x:v>
      </x:c>
      <x:c r="E243" s="43" t="str">
        <x:v>Behavioral / clinical assessment</x:v>
      </x:c>
      <x:c r="F243" s="43" t="str">
        <x:v>Diffuse–shared–assigned responsibility; concentration index</x:v>
      </x:c>
      <x:c r="G243" s="43" t="str">
        <x:v>Moderate</x:v>
      </x:c>
      <x:c r="H243" s="43" t="str">
        <x:v>Shared belief, shared information, common knowledge, mutual expectations, and objective capability are related but not equivalent. Observation is an indicator and should be triangulated across actors or episodes where feasible.</x:v>
      </x:c>
      <x:c r="I243" s="43" t="str">
        <x:v>SRC239; SRC229</x:v>
      </x:c>
    </x:row>
    <x:row r="244" ht="62" customHeight="1">
      <x:c r="A244" s="43" t="str">
        <x:v>OP-SOC-0240</x:v>
      </x:c>
      <x:c r="B244" s="43" t="str">
        <x:v>SOC-080</x:v>
      </x:c>
      <x:c r="C244" s="43" t="str">
        <x:v>Responsibility Concentration</x:v>
      </x:c>
      <x:c r="D244" s="43" t="str">
        <x:v>Administrative, roster, or interaction record: assignment concentration</x:v>
      </x:c>
      <x:c r="E244" s="43" t="str">
        <x:v>Administrative / archival</x:v>
      </x:c>
      <x:c r="F244" s="43" t="str">
        <x:v>Diffuse–shared–assigned responsibility; concentration index</x:v>
      </x:c>
      <x:c r="G244" s="43" t="str">
        <x:v>Moderate</x:v>
      </x:c>
      <x:c r="H244" s="43" t="str">
        <x:v>Shared belief, shared information, common knowledge, mutual expectations, and objective capability are related but not equivalent. Coverage, opportunity, missingness, and selection into the recorded setting must be documented.</x:v>
      </x:c>
      <x:c r="I244" s="43" t="str">
        <x:v>SRC239; SRC229</x:v>
      </x:c>
    </x:row>
    <x:row r="245" ht="62" customHeight="1">
      <x:c r="A245" s="43" t="str">
        <x:v>OP-SOC-0241</x:v>
      </x:c>
      <x:c r="B245" s="43" t="str">
        <x:v>SOC-081</x:v>
      </x:c>
      <x:c r="C245" s="43" t="str">
        <x:v>Peer Accountability Intensity</x:v>
      </x:c>
      <x:c r="D245" s="43" t="str">
        <x:v>Construct-specific social assessment: Required explanation</x:v>
      </x:c>
      <x:c r="E245" s="43" t="str">
        <x:v>Self-report / assessment</x:v>
      </x:c>
      <x:c r="F245" s="43" t="str">
        <x:v>No answerability–informal explanation–formal peer justification; low–high intensity</x:v>
      </x:c>
      <x:c r="G245" s="43" t="str">
        <x:v>Moderate</x:v>
      </x:c>
      <x:c r="H245" s="43" t="str">
        <x:v>Shared belief, shared information, common knowledge, mutual expectations, and objective capability are related but not equivalent. Use an explicit social referent, unit of analysis, behavior, setting, and time window.</x:v>
      </x:c>
      <x:c r="I245" s="43" t="str">
        <x:v>SRC229; SRC267</x:v>
      </x:c>
    </x:row>
    <x:row r="246" ht="62" customHeight="1">
      <x:c r="A246" s="43" t="str">
        <x:v>OP-SOC-0242</x:v>
      </x:c>
      <x:c r="B246" s="43" t="str">
        <x:v>SOC-081</x:v>
      </x:c>
      <x:c r="C246" s="43" t="str">
        <x:v>Peer Accountability Intensity</x:v>
      </x:c>
      <x:c r="D246" s="43" t="str">
        <x:v>Observed relational or group indicator: peer review frequency</x:v>
      </x:c>
      <x:c r="E246" s="43" t="str">
        <x:v>Behavioral / clinical assessment</x:v>
      </x:c>
      <x:c r="F246" s="43" t="str">
        <x:v>No answerability–informal explanation–formal peer justification; low–high intensity</x:v>
      </x:c>
      <x:c r="G246" s="43" t="str">
        <x:v>Moderate</x:v>
      </x:c>
      <x:c r="H246" s="43" t="str">
        <x:v>Shared belief, shared information, common knowledge, mutual expectations, and objective capability are related but not equivalent. Observation is an indicator and should be triangulated across actors or episodes where feasible.</x:v>
      </x:c>
      <x:c r="I246" s="43" t="str">
        <x:v>SRC229; SRC267</x:v>
      </x:c>
    </x:row>
    <x:row r="247" ht="62" customHeight="1">
      <x:c r="A247" s="43" t="str">
        <x:v>OP-SOC-0243</x:v>
      </x:c>
      <x:c r="B247" s="43" t="str">
        <x:v>SOC-081</x:v>
      </x:c>
      <x:c r="C247" s="43" t="str">
        <x:v>Peer Accountability Intensity</x:v>
      </x:c>
      <x:c r="D247" s="43" t="str">
        <x:v>Administrative, roster, or interaction record: consequences of inadequate justification</x:v>
      </x:c>
      <x:c r="E247" s="43" t="str">
        <x:v>Administrative / archival</x:v>
      </x:c>
      <x:c r="F247" s="43" t="str">
        <x:v>No answerability–informal explanation–formal peer justification; low–high intensity</x:v>
      </x:c>
      <x:c r="G247" s="43" t="str">
        <x:v>Moderate</x:v>
      </x:c>
      <x:c r="H247" s="43" t="str">
        <x:v>Shared belief, shared information, common knowledge, mutual expectations, and objective capability are related but not equivalent. Coverage, opportunity, missingness, and selection into the recorded setting must be documented.</x:v>
      </x:c>
      <x:c r="I247" s="43" t="str">
        <x:v>SRC229; SRC267</x:v>
      </x:c>
    </x:row>
    <x:row r="248" ht="62" customHeight="1">
      <x:c r="A248" s="43" t="str">
        <x:v>OP-SOC-0244</x:v>
      </x:c>
      <x:c r="B248" s="43" t="str">
        <x:v>SOC-082</x:v>
      </x:c>
      <x:c r="C248" s="43" t="str">
        <x:v>Audience Presence</x:v>
      </x:c>
      <x:c r="D248" s="43" t="str">
        <x:v>Direct setting indicator: Observer presence</x:v>
      </x:c>
      <x:c r="E248" s="43" t="str">
        <x:v>Behavioral / clinical assessment</x:v>
      </x:c>
      <x:c r="F248" s="43" t="str">
        <x:v>Absent / present, with audience definition specified</x:v>
      </x:c>
      <x:c r="G248" s="43" t="str">
        <x:v>High</x:v>
      </x:c>
      <x:c r="H248" s="43" t="str">
        <x:v>Audience and monitoring effects can reverse with task, expertise, relationship, or accountability ground rules. Define the relevant audience, action, and observation opportunity.</x:v>
      </x:c>
      <x:c r="I248" s="43" t="str">
        <x:v>SRC241; SRC229; SRC239</x:v>
      </x:c>
    </x:row>
    <x:row r="249" ht="62" customHeight="1">
      <x:c r="A249" s="43" t="str">
        <x:v>OP-SOC-0245</x:v>
      </x:c>
      <x:c r="B249" s="43" t="str">
        <x:v>SOC-082</x:v>
      </x:c>
      <x:c r="C249" s="43" t="str">
        <x:v>Audience Presence</x:v>
      </x:c>
      <x:c r="D249" s="43" t="str">
        <x:v>Administrative or platform visibility record: live viewers</x:v>
      </x:c>
      <x:c r="E249" s="43" t="str">
        <x:v>Administrative / archival</x:v>
      </x:c>
      <x:c r="F249" s="43" t="str">
        <x:v>Absent / present, with audience definition specified</x:v>
      </x:c>
      <x:c r="G249" s="43" t="str">
        <x:v>High</x:v>
      </x:c>
      <x:c r="H249" s="43" t="str">
        <x:v>Audience and monitoring effects can reverse with task, expertise, relationship, or accountability ground rules. Technical visibility does not guarantee attention or evaluation.</x:v>
      </x:c>
      <x:c r="I249" s="43" t="str">
        <x:v>SRC241; SRC229; SRC239</x:v>
      </x:c>
    </x:row>
    <x:row r="250" ht="62" customHeight="1">
      <x:c r="A250" s="43" t="str">
        <x:v>OP-SOC-0246</x:v>
      </x:c>
      <x:c r="B250" s="43" t="str">
        <x:v>SOC-082</x:v>
      </x:c>
      <x:c r="C250" s="43" t="str">
        <x:v>Audience Presence</x:v>
      </x:c>
      <x:c r="D250" s="43" t="str">
        <x:v>Controlled public/private or identifiable/anonymous manipulation for Audience Presence</x:v>
      </x:c>
      <x:c r="E250" s="43" t="str">
        <x:v>Other</x:v>
      </x:c>
      <x:c r="F250" s="43" t="str">
        <x:v>Randomized condition or graded manipulation with manipulation check</x:v>
      </x:c>
      <x:c r="G250" s="43" t="str">
        <x:v>High</x:v>
      </x:c>
      <x:c r="H250" s="43" t="str">
        <x:v>Audience and monitoring effects can reverse with task, expertise, relationship, or accountability ground rules. Separate presence, size, identifiability, publicness, evaluation, and monitoring.</x:v>
      </x:c>
      <x:c r="I250" s="43" t="str">
        <x:v>SRC241; SRC229; SRC239</x:v>
      </x:c>
    </x:row>
    <x:row r="251" ht="62" customHeight="1">
      <x:c r="A251" s="43" t="str">
        <x:v>OP-SOC-0247</x:v>
      </x:c>
      <x:c r="B251" s="43" t="str">
        <x:v>SOC-083</x:v>
      </x:c>
      <x:c r="C251" s="43" t="str">
        <x:v>Audience Size</x:v>
      </x:c>
      <x:c r="D251" s="43" t="str">
        <x:v>Direct setting indicator: Attendance</x:v>
      </x:c>
      <x:c r="E251" s="43" t="str">
        <x:v>Behavioral / clinical assessment</x:v>
      </x:c>
      <x:c r="F251" s="43" t="str">
        <x:v>Observer count; concurrent viewers; visible witness number</x:v>
      </x:c>
      <x:c r="G251" s="43" t="str">
        <x:v>High</x:v>
      </x:c>
      <x:c r="H251" s="43" t="str">
        <x:v>Audience and monitoring effects can reverse with task, expertise, relationship, or accountability ground rules. Define the relevant audience, action, and observation opportunity.</x:v>
      </x:c>
      <x:c r="I251" s="43" t="str">
        <x:v>SRC239; SRC241; SRC229</x:v>
      </x:c>
    </x:row>
    <x:row r="252" ht="62" customHeight="1">
      <x:c r="A252" s="43" t="str">
        <x:v>OP-SOC-0248</x:v>
      </x:c>
      <x:c r="B252" s="43" t="str">
        <x:v>SOC-083</x:v>
      </x:c>
      <x:c r="C252" s="43" t="str">
        <x:v>Audience Size</x:v>
      </x:c>
      <x:c r="D252" s="43" t="str">
        <x:v>Administrative or platform visibility record: viewer count</x:v>
      </x:c>
      <x:c r="E252" s="43" t="str">
        <x:v>Administrative / archival</x:v>
      </x:c>
      <x:c r="F252" s="43" t="str">
        <x:v>Observer count; concurrent viewers; visible witness number</x:v>
      </x:c>
      <x:c r="G252" s="43" t="str">
        <x:v>High</x:v>
      </x:c>
      <x:c r="H252" s="43" t="str">
        <x:v>Audience and monitoring effects can reverse with task, expertise, relationship, or accountability ground rules. Technical visibility does not guarantee attention or evaluation.</x:v>
      </x:c>
      <x:c r="I252" s="43" t="str">
        <x:v>SRC239; SRC241; SRC229</x:v>
      </x:c>
    </x:row>
    <x:row r="253" ht="62" customHeight="1">
      <x:c r="A253" s="43" t="str">
        <x:v>OP-SOC-0249</x:v>
      </x:c>
      <x:c r="B253" s="43" t="str">
        <x:v>SOC-083</x:v>
      </x:c>
      <x:c r="C253" s="43" t="str">
        <x:v>Audience Size</x:v>
      </x:c>
      <x:c r="D253" s="43" t="str">
        <x:v>Controlled public/private or identifiable/anonymous manipulation for Audience Size</x:v>
      </x:c>
      <x:c r="E253" s="43" t="str">
        <x:v>Other</x:v>
      </x:c>
      <x:c r="F253" s="43" t="str">
        <x:v>Randomized condition or graded manipulation with manipulation check</x:v>
      </x:c>
      <x:c r="G253" s="43" t="str">
        <x:v>High</x:v>
      </x:c>
      <x:c r="H253" s="43" t="str">
        <x:v>Audience and monitoring effects can reverse with task, expertise, relationship, or accountability ground rules. Separate presence, size, identifiability, publicness, evaluation, and monitoring.</x:v>
      </x:c>
      <x:c r="I253" s="43" t="str">
        <x:v>SRC239; SRC241; SRC229</x:v>
      </x:c>
    </x:row>
    <x:row r="254" ht="62" customHeight="1">
      <x:c r="A254" s="43" t="str">
        <x:v>OP-SOC-0250</x:v>
      </x:c>
      <x:c r="B254" s="43" t="str">
        <x:v>SOC-084</x:v>
      </x:c>
      <x:c r="C254" s="43" t="str">
        <x:v>Actor Identifiability</x:v>
      </x:c>
      <x:c r="D254" s="43" t="str">
        <x:v>Direct setting indicator: Name or face visibility</x:v>
      </x:c>
      <x:c r="E254" s="43" t="str">
        <x:v>Behavioral / clinical assessment</x:v>
      </x:c>
      <x:c r="F254" s="43" t="str">
        <x:v>Anonymous–pseudonymous–verified identity; reidentification probability</x:v>
      </x:c>
      <x:c r="G254" s="43" t="str">
        <x:v>High</x:v>
      </x:c>
      <x:c r="H254" s="43" t="str">
        <x:v>Audience and monitoring effects can reverse with task, expertise, relationship, or accountability ground rules. Define the relevant audience, action, and observation opportunity.</x:v>
      </x:c>
      <x:c r="I254" s="43" t="str">
        <x:v>SRC229; SRC249; SRC257</x:v>
      </x:c>
    </x:row>
    <x:row r="255" ht="62" customHeight="1">
      <x:c r="A255" s="43" t="str">
        <x:v>OP-SOC-0251</x:v>
      </x:c>
      <x:c r="B255" s="43" t="str">
        <x:v>SOC-084</x:v>
      </x:c>
      <x:c r="C255" s="43" t="str">
        <x:v>Actor Identifiability</x:v>
      </x:c>
      <x:c r="D255" s="43" t="str">
        <x:v>Administrative or platform visibility record: stable identifier</x:v>
      </x:c>
      <x:c r="E255" s="43" t="str">
        <x:v>Administrative / archival</x:v>
      </x:c>
      <x:c r="F255" s="43" t="str">
        <x:v>Anonymous–pseudonymous–verified identity; reidentification probability</x:v>
      </x:c>
      <x:c r="G255" s="43" t="str">
        <x:v>High</x:v>
      </x:c>
      <x:c r="H255" s="43" t="str">
        <x:v>Audience and monitoring effects can reverse with task, expertise, relationship, or accountability ground rules. Technical visibility does not guarantee attention or evaluation.</x:v>
      </x:c>
      <x:c r="I255" s="43" t="str">
        <x:v>SRC229; SRC249; SRC257</x:v>
      </x:c>
    </x:row>
    <x:row r="256" ht="62" customHeight="1">
      <x:c r="A256" s="43" t="str">
        <x:v>OP-SOC-0252</x:v>
      </x:c>
      <x:c r="B256" s="43" t="str">
        <x:v>SOC-084</x:v>
      </x:c>
      <x:c r="C256" s="43" t="str">
        <x:v>Actor Identifiability</x:v>
      </x:c>
      <x:c r="D256" s="43" t="str">
        <x:v>Controlled public/private or identifiable/anonymous manipulation for Actor Identifiability</x:v>
      </x:c>
      <x:c r="E256" s="43" t="str">
        <x:v>Other</x:v>
      </x:c>
      <x:c r="F256" s="43" t="str">
        <x:v>Randomized condition or graded manipulation with manipulation check</x:v>
      </x:c>
      <x:c r="G256" s="43" t="str">
        <x:v>High</x:v>
      </x:c>
      <x:c r="H256" s="43" t="str">
        <x:v>Audience and monitoring effects can reverse with task, expertise, relationship, or accountability ground rules. Separate presence, size, identifiability, publicness, evaluation, and monitoring.</x:v>
      </x:c>
      <x:c r="I256" s="43" t="str">
        <x:v>SRC229; SRC249; SRC257</x:v>
      </x:c>
    </x:row>
    <x:row r="257" ht="62" customHeight="1">
      <x:c r="A257" s="43" t="str">
        <x:v>OP-SOC-0253</x:v>
      </x:c>
      <x:c r="B257" s="43" t="str">
        <x:v>SOC-085</x:v>
      </x:c>
      <x:c r="C257" s="43" t="str">
        <x:v>Action Publicness</x:v>
      </x:c>
      <x:c r="D257" s="43" t="str">
        <x:v>Direct setting indicator: Visibility setting</x:v>
      </x:c>
      <x:c r="E257" s="43" t="str">
        <x:v>Behavioral / clinical assessment</x:v>
      </x:c>
      <x:c r="F257" s="43" t="str">
        <x:v>Private–partly visible–fully public; share of action visible</x:v>
      </x:c>
      <x:c r="G257" s="43" t="str">
        <x:v>High</x:v>
      </x:c>
      <x:c r="H257" s="43" t="str">
        <x:v>Audience and monitoring effects can reverse with task, expertise, relationship, or accountability ground rules. Define the relevant audience, action, and observation opportunity.</x:v>
      </x:c>
      <x:c r="I257" s="43" t="str">
        <x:v>SRC229; SRC209; SRC249</x:v>
      </x:c>
    </x:row>
    <x:row r="258" ht="62" customHeight="1">
      <x:c r="A258" s="43" t="str">
        <x:v>OP-SOC-0254</x:v>
      </x:c>
      <x:c r="B258" s="43" t="str">
        <x:v>SOC-085</x:v>
      </x:c>
      <x:c r="C258" s="43" t="str">
        <x:v>Action Publicness</x:v>
      </x:c>
      <x:c r="D258" s="43" t="str">
        <x:v>Administrative or platform visibility record: public record</x:v>
      </x:c>
      <x:c r="E258" s="43" t="str">
        <x:v>Administrative / archival</x:v>
      </x:c>
      <x:c r="F258" s="43" t="str">
        <x:v>Private–partly visible–fully public; share of action visible</x:v>
      </x:c>
      <x:c r="G258" s="43" t="str">
        <x:v>High</x:v>
      </x:c>
      <x:c r="H258" s="43" t="str">
        <x:v>Audience and monitoring effects can reverse with task, expertise, relationship, or accountability ground rules. Technical visibility does not guarantee attention or evaluation.</x:v>
      </x:c>
      <x:c r="I258" s="43" t="str">
        <x:v>SRC229; SRC209; SRC249</x:v>
      </x:c>
    </x:row>
    <x:row r="259" ht="62" customHeight="1">
      <x:c r="A259" s="43" t="str">
        <x:v>OP-SOC-0255</x:v>
      </x:c>
      <x:c r="B259" s="43" t="str">
        <x:v>SOC-085</x:v>
      </x:c>
      <x:c r="C259" s="43" t="str">
        <x:v>Action Publicness</x:v>
      </x:c>
      <x:c r="D259" s="43" t="str">
        <x:v>Controlled public/private or identifiable/anonymous manipulation for Action Publicness</x:v>
      </x:c>
      <x:c r="E259" s="43" t="str">
        <x:v>Other</x:v>
      </x:c>
      <x:c r="F259" s="43" t="str">
        <x:v>Randomized condition or graded manipulation with manipulation check</x:v>
      </x:c>
      <x:c r="G259" s="43" t="str">
        <x:v>High</x:v>
      </x:c>
      <x:c r="H259" s="43" t="str">
        <x:v>Audience and monitoring effects can reverse with task, expertise, relationship, or accountability ground rules. Separate presence, size, identifiability, publicness, evaluation, and monitoring.</x:v>
      </x:c>
      <x:c r="I259" s="43" t="str">
        <x:v>SRC229; SRC209; SRC249</x:v>
      </x:c>
    </x:row>
    <x:row r="260" ht="62" customHeight="1">
      <x:c r="A260" s="43" t="str">
        <x:v>OP-SOC-0256</x:v>
      </x:c>
      <x:c r="B260" s="43" t="str">
        <x:v>SOC-086</x:v>
      </x:c>
      <x:c r="C260" s="43" t="str">
        <x:v>Evaluation Exposure</x:v>
      </x:c>
      <x:c r="D260" s="43" t="str">
        <x:v>Direct setting indicator: Ratings requested</x:v>
      </x:c>
      <x:c r="E260" s="43" t="str">
        <x:v>Behavioral / clinical assessment</x:v>
      </x:c>
      <x:c r="F260" s="43" t="str">
        <x:v>0–1 evaluation probability; evaluated versus unevaluated; rating coverage</x:v>
      </x:c>
      <x:c r="G260" s="43" t="str">
        <x:v>High</x:v>
      </x:c>
      <x:c r="H260" s="43" t="str">
        <x:v>Audience and monitoring effects can reverse with task, expertise, relationship, or accountability ground rules. Define the relevant audience, action, and observation opportunity.</x:v>
      </x:c>
      <x:c r="I260" s="43" t="str">
        <x:v>SRC229; SRC241</x:v>
      </x:c>
    </x:row>
    <x:row r="261" ht="62" customHeight="1">
      <x:c r="A261" s="43" t="str">
        <x:v>OP-SOC-0257</x:v>
      </x:c>
      <x:c r="B261" s="43" t="str">
        <x:v>SOC-086</x:v>
      </x:c>
      <x:c r="C261" s="43" t="str">
        <x:v>Evaluation Exposure</x:v>
      </x:c>
      <x:c r="D261" s="43" t="str">
        <x:v>Administrative or platform visibility record: feedback probability</x:v>
      </x:c>
      <x:c r="E261" s="43" t="str">
        <x:v>Administrative / archival</x:v>
      </x:c>
      <x:c r="F261" s="43" t="str">
        <x:v>0–1 evaluation probability; evaluated versus unevaluated; rating coverage</x:v>
      </x:c>
      <x:c r="G261" s="43" t="str">
        <x:v>High</x:v>
      </x:c>
      <x:c r="H261" s="43" t="str">
        <x:v>Audience and monitoring effects can reverse with task, expertise, relationship, or accountability ground rules. Technical visibility does not guarantee attention or evaluation.</x:v>
      </x:c>
      <x:c r="I261" s="43" t="str">
        <x:v>SRC229; SRC241</x:v>
      </x:c>
    </x:row>
    <x:row r="262" ht="62" customHeight="1">
      <x:c r="A262" s="43" t="str">
        <x:v>OP-SOC-0258</x:v>
      </x:c>
      <x:c r="B262" s="43" t="str">
        <x:v>SOC-086</x:v>
      </x:c>
      <x:c r="C262" s="43" t="str">
        <x:v>Evaluation Exposure</x:v>
      </x:c>
      <x:c r="D262" s="43" t="str">
        <x:v>Controlled public/private or identifiable/anonymous manipulation for Evaluation Exposure</x:v>
      </x:c>
      <x:c r="E262" s="43" t="str">
        <x:v>Other</x:v>
      </x:c>
      <x:c r="F262" s="43" t="str">
        <x:v>Randomized condition or graded manipulation with manipulation check</x:v>
      </x:c>
      <x:c r="G262" s="43" t="str">
        <x:v>High</x:v>
      </x:c>
      <x:c r="H262" s="43" t="str">
        <x:v>Audience and monitoring effects can reverse with task, expertise, relationship, or accountability ground rules. Separate presence, size, identifiability, publicness, evaluation, and monitoring.</x:v>
      </x:c>
      <x:c r="I262" s="43" t="str">
        <x:v>SRC229; SRC241</x:v>
      </x:c>
    </x:row>
    <x:row r="263" ht="62" customHeight="1">
      <x:c r="A263" s="43" t="str">
        <x:v>OP-SOC-0259</x:v>
      </x:c>
      <x:c r="B263" s="43" t="str">
        <x:v>SOC-087</x:v>
      </x:c>
      <x:c r="C263" s="43" t="str">
        <x:v>Peer Monitoring Intensity</x:v>
      </x:c>
      <x:c r="D263" s="43" t="str">
        <x:v>Direct setting indicator: Review events</x:v>
      </x:c>
      <x:c r="E263" s="43" t="str">
        <x:v>Behavioral / clinical assessment</x:v>
      </x:c>
      <x:c r="F263" s="43" t="str">
        <x:v>Monitoring events per period; proportion of actions reviewed; low–high oversight</x:v>
      </x:c>
      <x:c r="G263" s="43" t="str">
        <x:v>High</x:v>
      </x:c>
      <x:c r="H263" s="43" t="str">
        <x:v>Audience and monitoring effects can reverse with task, expertise, relationship, or accountability ground rules. Define the relevant audience, action, and observation opportunity.</x:v>
      </x:c>
      <x:c r="I263" s="43" t="str">
        <x:v>SRC229; SRC226; SRC251</x:v>
      </x:c>
    </x:row>
    <x:row r="264" ht="62" customHeight="1">
      <x:c r="A264" s="43" t="str">
        <x:v>OP-SOC-0260</x:v>
      </x:c>
      <x:c r="B264" s="43" t="str">
        <x:v>SOC-087</x:v>
      </x:c>
      <x:c r="C264" s="43" t="str">
        <x:v>Peer Monitoring Intensity</x:v>
      </x:c>
      <x:c r="D264" s="43" t="str">
        <x:v>Administrative or platform visibility record: observation coverage</x:v>
      </x:c>
      <x:c r="E264" s="43" t="str">
        <x:v>Administrative / archival</x:v>
      </x:c>
      <x:c r="F264" s="43" t="str">
        <x:v>Monitoring events per period; proportion of actions reviewed; low–high oversight</x:v>
      </x:c>
      <x:c r="G264" s="43" t="str">
        <x:v>High</x:v>
      </x:c>
      <x:c r="H264" s="43" t="str">
        <x:v>Audience and monitoring effects can reverse with task, expertise, relationship, or accountability ground rules. Technical visibility does not guarantee attention or evaluation.</x:v>
      </x:c>
      <x:c r="I264" s="43" t="str">
        <x:v>SRC229; SRC226; SRC251</x:v>
      </x:c>
    </x:row>
    <x:row r="265" ht="62" customHeight="1">
      <x:c r="A265" s="43" t="str">
        <x:v>OP-SOC-0261</x:v>
      </x:c>
      <x:c r="B265" s="43" t="str">
        <x:v>SOC-087</x:v>
      </x:c>
      <x:c r="C265" s="43" t="str">
        <x:v>Peer Monitoring Intensity</x:v>
      </x:c>
      <x:c r="D265" s="43" t="str">
        <x:v>Controlled public/private or identifiable/anonymous manipulation for Peer Monitoring Intensity</x:v>
      </x:c>
      <x:c r="E265" s="43" t="str">
        <x:v>Other</x:v>
      </x:c>
      <x:c r="F265" s="43" t="str">
        <x:v>Randomized condition or graded manipulation with manipulation check</x:v>
      </x:c>
      <x:c r="G265" s="43" t="str">
        <x:v>High</x:v>
      </x:c>
      <x:c r="H265" s="43" t="str">
        <x:v>Audience and monitoring effects can reverse with task, expertise, relationship, or accountability ground rules. Separate presence, size, identifiability, publicness, evaluation, and monitoring.</x:v>
      </x:c>
      <x:c r="I265" s="43" t="str">
        <x:v>SRC229; SRC226; SRC251</x:v>
      </x:c>
    </x:row>
    <x:row r="266" ht="62" customHeight="1">
      <x:c r="A266" s="43" t="str">
        <x:v>OP-SOC-0262</x:v>
      </x:c>
      <x:c r="B266" s="43" t="str">
        <x:v>SOC-088</x:v>
      </x:c>
      <x:c r="C266" s="43" t="str">
        <x:v>Intergroup Contact Frequency</x:v>
      </x:c>
      <x:c r="D266" s="43" t="str">
        <x:v>Construct-specific social assessment: Cross-group encounters</x:v>
      </x:c>
      <x:c r="E266" s="43" t="str">
        <x:v>Self-report / assessment</x:v>
      </x:c>
      <x:c r="F266" s="43" t="str">
        <x:v>Cross-group interactions per day, week, or month; opportunity-adjusted rate</x:v>
      </x:c>
      <x:c r="G266" s="43" t="str">
        <x:v>Moderate</x:v>
      </x:c>
      <x:c r="H266" s="43" t="str">
        <x:v>Contact selection and context complicate causal inference; contact amount, quality, friendship, equality, cooperation, and segregation are distinct. Use an explicit social referent, unit of analysis, behavior, setting, and time window.</x:v>
      </x:c>
      <x:c r="I266" s="43" t="str">
        <x:v>SRC244; SRC247; SRC268</x:v>
      </x:c>
    </x:row>
    <x:row r="267" ht="62" customHeight="1">
      <x:c r="A267" s="43" t="str">
        <x:v>OP-SOC-0263</x:v>
      </x:c>
      <x:c r="B267" s="43" t="str">
        <x:v>SOC-088</x:v>
      </x:c>
      <x:c r="C267" s="43" t="str">
        <x:v>Intergroup Contact Frequency</x:v>
      </x:c>
      <x:c r="D267" s="43" t="str">
        <x:v>Observed relational or group indicator: mixed-team interactions</x:v>
      </x:c>
      <x:c r="E267" s="43" t="str">
        <x:v>Behavioral / clinical assessment</x:v>
      </x:c>
      <x:c r="F267" s="43" t="str">
        <x:v>Cross-group interactions per day, week, or month; opportunity-adjusted rate</x:v>
      </x:c>
      <x:c r="G267" s="43" t="str">
        <x:v>Moderate</x:v>
      </x:c>
      <x:c r="H267" s="43" t="str">
        <x:v>Contact selection and context complicate causal inference; contact amount, quality, friendship, equality, cooperation, and segregation are distinct. Observation is an indicator and should be triangulated across actors or episodes where feasible.</x:v>
      </x:c>
      <x:c r="I267" s="43" t="str">
        <x:v>SRC244; SRC247; SRC268</x:v>
      </x:c>
    </x:row>
    <x:row r="268" ht="62" customHeight="1">
      <x:c r="A268" s="43" t="str">
        <x:v>OP-SOC-0264</x:v>
      </x:c>
      <x:c r="B268" s="43" t="str">
        <x:v>SOC-088</x:v>
      </x:c>
      <x:c r="C268" s="43" t="str">
        <x:v>Intergroup Contact Frequency</x:v>
      </x:c>
      <x:c r="D268" s="43" t="str">
        <x:v>Administrative, roster, or interaction record: contact diary</x:v>
      </x:c>
      <x:c r="E268" s="43" t="str">
        <x:v>Administrative / archival</x:v>
      </x:c>
      <x:c r="F268" s="43" t="str">
        <x:v>Cross-group interactions per day, week, or month; opportunity-adjusted rate</x:v>
      </x:c>
      <x:c r="G268" s="43" t="str">
        <x:v>Moderate</x:v>
      </x:c>
      <x:c r="H268" s="43" t="str">
        <x:v>Contact selection and context complicate causal inference; contact amount, quality, friendship, equality, cooperation, and segregation are distinct. Coverage, opportunity, missingness, and selection into the recorded setting must be documented.</x:v>
      </x:c>
      <x:c r="I268" s="43" t="str">
        <x:v>SRC244; SRC247; SRC268</x:v>
      </x:c>
    </x:row>
    <x:row r="269" ht="62" customHeight="1">
      <x:c r="A269" s="43" t="str">
        <x:v>OP-SOC-0265</x:v>
      </x:c>
      <x:c r="B269" s="43" t="str">
        <x:v>SOC-089</x:v>
      </x:c>
      <x:c r="C269" s="43" t="str">
        <x:v>Intergroup Contact Quality</x:v>
      </x:c>
      <x:c r="D269" s="43" t="str">
        <x:v>Construct-specific social assessment: Cooperation</x:v>
      </x:c>
      <x:c r="E269" s="43" t="str">
        <x:v>Self-report / assessment</x:v>
      </x:c>
      <x:c r="F269" s="43" t="str">
        <x:v>Negative–neutral–positive quality; multidimensional contact-quality profile</x:v>
      </x:c>
      <x:c r="G269" s="43" t="str">
        <x:v>Moderate</x:v>
      </x:c>
      <x:c r="H269" s="43" t="str">
        <x:v>Contact selection and context complicate causal inference; contact amount, quality, friendship, equality, cooperation, and segregation are distinct. Use an explicit social referent, unit of analysis, behavior, setting, and time window.</x:v>
      </x:c>
      <x:c r="I269" s="43" t="str">
        <x:v>SRC244; SRC247; SRC268</x:v>
      </x:c>
    </x:row>
    <x:row r="270" ht="62" customHeight="1">
      <x:c r="A270" s="43" t="str">
        <x:v>OP-SOC-0266</x:v>
      </x:c>
      <x:c r="B270" s="43" t="str">
        <x:v>SOC-089</x:v>
      </x:c>
      <x:c r="C270" s="43" t="str">
        <x:v>Intergroup Contact Quality</x:v>
      </x:c>
      <x:c r="D270" s="43" t="str">
        <x:v>Observed relational or group indicator: respect</x:v>
      </x:c>
      <x:c r="E270" s="43" t="str">
        <x:v>Behavioral / clinical assessment</x:v>
      </x:c>
      <x:c r="F270" s="43" t="str">
        <x:v>Negative–neutral–positive quality; multidimensional contact-quality profile</x:v>
      </x:c>
      <x:c r="G270" s="43" t="str">
        <x:v>Moderate</x:v>
      </x:c>
      <x:c r="H270" s="43" t="str">
        <x:v>Contact selection and context complicate causal inference; contact amount, quality, friendship, equality, cooperation, and segregation are distinct. Observation is an indicator and should be triangulated across actors or episodes where feasible.</x:v>
      </x:c>
      <x:c r="I270" s="43" t="str">
        <x:v>SRC244; SRC247; SRC268</x:v>
      </x:c>
    </x:row>
    <x:row r="271" ht="62" customHeight="1">
      <x:c r="A271" s="43" t="str">
        <x:v>OP-SOC-0267</x:v>
      </x:c>
      <x:c r="B271" s="43" t="str">
        <x:v>SOC-089</x:v>
      </x:c>
      <x:c r="C271" s="43" t="str">
        <x:v>Intergroup Contact Quality</x:v>
      </x:c>
      <x:c r="D271" s="43" t="str">
        <x:v>Administrative, roster, or interaction record: equal participation</x:v>
      </x:c>
      <x:c r="E271" s="43" t="str">
        <x:v>Administrative / archival</x:v>
      </x:c>
      <x:c r="F271" s="43" t="str">
        <x:v>Negative–neutral–positive quality; multidimensional contact-quality profile</x:v>
      </x:c>
      <x:c r="G271" s="43" t="str">
        <x:v>Moderate</x:v>
      </x:c>
      <x:c r="H271" s="43" t="str">
        <x:v>Contact selection and context complicate causal inference; contact amount, quality, friendship, equality, cooperation, and segregation are distinct. Coverage, opportunity, missingness, and selection into the recorded setting must be documented.</x:v>
      </x:c>
      <x:c r="I271" s="43" t="str">
        <x:v>SRC244; SRC247; SRC268</x:v>
      </x:c>
    </x:row>
    <x:row r="272" ht="62" customHeight="1">
      <x:c r="A272" s="43" t="str">
        <x:v>OP-SOC-0268</x:v>
      </x:c>
      <x:c r="B272" s="43" t="str">
        <x:v>SOC-090</x:v>
      </x:c>
      <x:c r="C272" s="43" t="str">
        <x:v>Cross-Group Friendship Prevalence</x:v>
      </x:c>
      <x:c r="D272" s="43" t="str">
        <x:v>Construct-specific social assessment: Reciprocal friendship nominations</x:v>
      </x:c>
      <x:c r="E272" s="43" t="str">
        <x:v>Self-report / assessment</x:v>
      </x:c>
      <x:c r="F272" s="43" t="str">
        <x:v>0–1 members with cross-group friend; cross-group friendship share</x:v>
      </x:c>
      <x:c r="G272" s="43" t="str">
        <x:v>Moderate</x:v>
      </x:c>
      <x:c r="H272" s="43" t="str">
        <x:v>Contact selection and context complicate causal inference; contact amount, quality, friendship, equality, cooperation, and segregation are distinct. Use an explicit social referent, unit of analysis, behavior, setting, and time window.</x:v>
      </x:c>
      <x:c r="I272" s="43" t="str">
        <x:v>SRC244; SRC247; SRC266</x:v>
      </x:c>
    </x:row>
    <x:row r="273" ht="62" customHeight="1">
      <x:c r="A273" s="43" t="str">
        <x:v>OP-SOC-0269</x:v>
      </x:c>
      <x:c r="B273" s="43" t="str">
        <x:v>SOC-090</x:v>
      </x:c>
      <x:c r="C273" s="43" t="str">
        <x:v>Cross-Group Friendship Prevalence</x:v>
      </x:c>
      <x:c r="D273" s="43" t="str">
        <x:v>Observed relational or group indicator: cross-group close-tie count</x:v>
      </x:c>
      <x:c r="E273" s="43" t="str">
        <x:v>Behavioral / clinical assessment</x:v>
      </x:c>
      <x:c r="F273" s="43" t="str">
        <x:v>0–1 members with cross-group friend; cross-group friendship share</x:v>
      </x:c>
      <x:c r="G273" s="43" t="str">
        <x:v>Moderate</x:v>
      </x:c>
      <x:c r="H273" s="43" t="str">
        <x:v>Contact selection and context complicate causal inference; contact amount, quality, friendship, equality, cooperation, and segregation are distinct. Observation is an indicator and should be triangulated across actors or episodes where feasible.</x:v>
      </x:c>
      <x:c r="I273" s="43" t="str">
        <x:v>SRC244; SRC247; SRC266</x:v>
      </x:c>
    </x:row>
    <x:row r="274" ht="62" customHeight="1">
      <x:c r="A274" s="43" t="str">
        <x:v>OP-SOC-0270</x:v>
      </x:c>
      <x:c r="B274" s="43" t="str">
        <x:v>SOC-090</x:v>
      </x:c>
      <x:c r="C274" s="43" t="str">
        <x:v>Cross-Group Friendship Prevalence</x:v>
      </x:c>
      <x:c r="D274" s="43" t="str">
        <x:v>Administrative, roster, or interaction record: friendship duration</x:v>
      </x:c>
      <x:c r="E274" s="43" t="str">
        <x:v>Administrative / archival</x:v>
      </x:c>
      <x:c r="F274" s="43" t="str">
        <x:v>0–1 members with cross-group friend; cross-group friendship share</x:v>
      </x:c>
      <x:c r="G274" s="43" t="str">
        <x:v>Moderate</x:v>
      </x:c>
      <x:c r="H274" s="43" t="str">
        <x:v>Contact selection and context complicate causal inference; contact amount, quality, friendship, equality, cooperation, and segregation are distinct. Coverage, opportunity, missingness, and selection into the recorded setting must be documented.</x:v>
      </x:c>
      <x:c r="I274" s="43" t="str">
        <x:v>SRC244; SRC247; SRC266</x:v>
      </x:c>
    </x:row>
    <x:row r="275" ht="62" customHeight="1">
      <x:c r="A275" s="43" t="str">
        <x:v>OP-SOC-0271</x:v>
      </x:c>
      <x:c r="B275" s="43" t="str">
        <x:v>SOC-091</x:v>
      </x:c>
      <x:c r="C275" s="43" t="str">
        <x:v>Intergroup Cooperation</x:v>
      </x:c>
      <x:c r="D275" s="43" t="str">
        <x:v>Construct-specific social assessment: Joint projects</x:v>
      </x:c>
      <x:c r="E275" s="43" t="str">
        <x:v>Self-report / assessment</x:v>
      </x:c>
      <x:c r="F275" s="43" t="str">
        <x:v>Cooperative encounters per opportunity; joint contribution rate; low–high collaboration</x:v>
      </x:c>
      <x:c r="G275" s="43" t="str">
        <x:v>Moderate</x:v>
      </x:c>
      <x:c r="H275" s="43" t="str">
        <x:v>Contact selection and context complicate causal inference; contact amount, quality, friendship, equality, cooperation, and segregation are distinct. Use an explicit social referent, unit of analysis, behavior, setting, and time window.</x:v>
      </x:c>
      <x:c r="I275" s="43" t="str">
        <x:v>SRC244; SRC268; SRC273</x:v>
      </x:c>
    </x:row>
    <x:row r="276" ht="62" customHeight="1">
      <x:c r="A276" s="43" t="str">
        <x:v>OP-SOC-0272</x:v>
      </x:c>
      <x:c r="B276" s="43" t="str">
        <x:v>SOC-091</x:v>
      </x:c>
      <x:c r="C276" s="43" t="str">
        <x:v>Intergroup Cooperation</x:v>
      </x:c>
      <x:c r="D276" s="43" t="str">
        <x:v>Observed relational or group indicator: shared-goal contributions</x:v>
      </x:c>
      <x:c r="E276" s="43" t="str">
        <x:v>Behavioral / clinical assessment</x:v>
      </x:c>
      <x:c r="F276" s="43" t="str">
        <x:v>Cooperative encounters per opportunity; joint contribution rate; low–high collaboration</x:v>
      </x:c>
      <x:c r="G276" s="43" t="str">
        <x:v>Moderate</x:v>
      </x:c>
      <x:c r="H276" s="43" t="str">
        <x:v>Contact selection and context complicate causal inference; contact amount, quality, friendship, equality, cooperation, and segregation are distinct. Observation is an indicator and should be triangulated across actors or episodes where feasible.</x:v>
      </x:c>
      <x:c r="I276" s="43" t="str">
        <x:v>SRC244; SRC268; SRC273</x:v>
      </x:c>
    </x:row>
    <x:row r="277" ht="62" customHeight="1">
      <x:c r="A277" s="43" t="str">
        <x:v>OP-SOC-0273</x:v>
      </x:c>
      <x:c r="B277" s="43" t="str">
        <x:v>SOC-091</x:v>
      </x:c>
      <x:c r="C277" s="43" t="str">
        <x:v>Intergroup Cooperation</x:v>
      </x:c>
      <x:c r="D277" s="43" t="str">
        <x:v>Administrative, roster, or interaction record: cooperative task completion</x:v>
      </x:c>
      <x:c r="E277" s="43" t="str">
        <x:v>Administrative / archival</x:v>
      </x:c>
      <x:c r="F277" s="43" t="str">
        <x:v>Cooperative encounters per opportunity; joint contribution rate; low–high collaboration</x:v>
      </x:c>
      <x:c r="G277" s="43" t="str">
        <x:v>Moderate</x:v>
      </x:c>
      <x:c r="H277" s="43" t="str">
        <x:v>Contact selection and context complicate causal inference; contact amount, quality, friendship, equality, cooperation, and segregation are distinct. Coverage, opportunity, missingness, and selection into the recorded setting must be documented.</x:v>
      </x:c>
      <x:c r="I277" s="43" t="str">
        <x:v>SRC244; SRC268; SRC273</x:v>
      </x:c>
    </x:row>
    <x:row r="278" ht="62" customHeight="1">
      <x:c r="A278" s="43" t="str">
        <x:v>OP-SOC-0274</x:v>
      </x:c>
      <x:c r="B278" s="43" t="str">
        <x:v>SOC-092</x:v>
      </x:c>
      <x:c r="C278" s="43" t="str">
        <x:v>Intergroup Competition Intensity</x:v>
      </x:c>
      <x:c r="D278" s="43" t="str">
        <x:v>Construct-specific social assessment: Contested resources</x:v>
      </x:c>
      <x:c r="E278" s="43" t="str">
        <x:v>Self-report / assessment</x:v>
      </x:c>
      <x:c r="F278" s="43" t="str">
        <x:v>Low–high rivalry; zero-sum share; contest frequency and stakes</x:v>
      </x:c>
      <x:c r="G278" s="43" t="str">
        <x:v>Moderate</x:v>
      </x:c>
      <x:c r="H278" s="43" t="str">
        <x:v>Contact selection and context complicate causal inference; contact amount, quality, friendship, equality, cooperation, and segregation are distinct. Use an explicit social referent, unit of analysis, behavior, setting, and time window.</x:v>
      </x:c>
      <x:c r="I278" s="43" t="str">
        <x:v>SRC245; SRC216; SRC273</x:v>
      </x:c>
    </x:row>
    <x:row r="279" ht="62" customHeight="1">
      <x:c r="A279" s="43" t="str">
        <x:v>OP-SOC-0275</x:v>
      </x:c>
      <x:c r="B279" s="43" t="str">
        <x:v>SOC-092</x:v>
      </x:c>
      <x:c r="C279" s="43" t="str">
        <x:v>Intergroup Competition Intensity</x:v>
      </x:c>
      <x:c r="D279" s="43" t="str">
        <x:v>Observed relational or group indicator: win–lose structure</x:v>
      </x:c>
      <x:c r="E279" s="43" t="str">
        <x:v>Behavioral / clinical assessment</x:v>
      </x:c>
      <x:c r="F279" s="43" t="str">
        <x:v>Low–high rivalry; zero-sum share; contest frequency and stakes</x:v>
      </x:c>
      <x:c r="G279" s="43" t="str">
        <x:v>Moderate</x:v>
      </x:c>
      <x:c r="H279" s="43" t="str">
        <x:v>Contact selection and context complicate causal inference; contact amount, quality, friendship, equality, cooperation, and segregation are distinct. Observation is an indicator and should be triangulated across actors or episodes where feasible.</x:v>
      </x:c>
      <x:c r="I279" s="43" t="str">
        <x:v>SRC245; SRC216; SRC273</x:v>
      </x:c>
    </x:row>
    <x:row r="280" ht="62" customHeight="1">
      <x:c r="A280" s="43" t="str">
        <x:v>OP-SOC-0276</x:v>
      </x:c>
      <x:c r="B280" s="43" t="str">
        <x:v>SOC-092</x:v>
      </x:c>
      <x:c r="C280" s="43" t="str">
        <x:v>Intergroup Competition Intensity</x:v>
      </x:c>
      <x:c r="D280" s="43" t="str">
        <x:v>Administrative, roster, or interaction record: hostile incidents</x:v>
      </x:c>
      <x:c r="E280" s="43" t="str">
        <x:v>Administrative / archival</x:v>
      </x:c>
      <x:c r="F280" s="43" t="str">
        <x:v>Low–high rivalry; zero-sum share; contest frequency and stakes</x:v>
      </x:c>
      <x:c r="G280" s="43" t="str">
        <x:v>Moderate</x:v>
      </x:c>
      <x:c r="H280" s="43" t="str">
        <x:v>Contact selection and context complicate causal inference; contact amount, quality, friendship, equality, cooperation, and segregation are distinct. Coverage, opportunity, missingness, and selection into the recorded setting must be documented.</x:v>
      </x:c>
      <x:c r="I280" s="43" t="str">
        <x:v>SRC245; SRC216; SRC273</x:v>
      </x:c>
    </x:row>
    <x:row r="281" ht="62" customHeight="1">
      <x:c r="A281" s="43" t="str">
        <x:v>OP-SOC-0277</x:v>
      </x:c>
      <x:c r="B281" s="43" t="str">
        <x:v>SOC-093</x:v>
      </x:c>
      <x:c r="C281" s="43" t="str">
        <x:v>Intergroup Resource Interdependence</x:v>
      </x:c>
      <x:c r="D281" s="43" t="str">
        <x:v>Construct-specific social assessment: Cross-group resource flows</x:v>
      </x:c>
      <x:c r="E281" s="43" t="str">
        <x:v>Self-report / assessment</x:v>
      </x:c>
      <x:c r="F281" s="43" t="str">
        <x:v>Low–high mutual dependence; reciprocal resource-flow share</x:v>
      </x:c>
      <x:c r="G281" s="43" t="str">
        <x:v>Moderate</x:v>
      </x:c>
      <x:c r="H281" s="43" t="str">
        <x:v>Contact selection and context complicate causal inference; contact amount, quality, friendship, equality, cooperation, and segregation are distinct. Use an explicit social referent, unit of analysis, behavior, setting, and time window.</x:v>
      </x:c>
      <x:c r="I281" s="43" t="str">
        <x:v>SRC223; SRC228; SRC273</x:v>
      </x:c>
    </x:row>
    <x:row r="282" ht="62" customHeight="1">
      <x:c r="A282" s="43" t="str">
        <x:v>OP-SOC-0278</x:v>
      </x:c>
      <x:c r="B282" s="43" t="str">
        <x:v>SOC-093</x:v>
      </x:c>
      <x:c r="C282" s="43" t="str">
        <x:v>Intergroup Resource Interdependence</x:v>
      </x:c>
      <x:c r="D282" s="43" t="str">
        <x:v>Observed relational or group indicator: shared infrastructure</x:v>
      </x:c>
      <x:c r="E282" s="43" t="str">
        <x:v>Behavioral / clinical assessment</x:v>
      </x:c>
      <x:c r="F282" s="43" t="str">
        <x:v>Low–high mutual dependence; reciprocal resource-flow share</x:v>
      </x:c>
      <x:c r="G282" s="43" t="str">
        <x:v>Moderate</x:v>
      </x:c>
      <x:c r="H282" s="43" t="str">
        <x:v>Contact selection and context complicate causal inference; contact amount, quality, friendship, equality, cooperation, and segregation are distinct. Observation is an indicator and should be triangulated across actors or episodes where feasible.</x:v>
      </x:c>
      <x:c r="I282" s="43" t="str">
        <x:v>SRC223; SRC228; SRC273</x:v>
      </x:c>
    </x:row>
    <x:row r="283" ht="62" customHeight="1">
      <x:c r="A283" s="43" t="str">
        <x:v>OP-SOC-0279</x:v>
      </x:c>
      <x:c r="B283" s="43" t="str">
        <x:v>SOC-093</x:v>
      </x:c>
      <x:c r="C283" s="43" t="str">
        <x:v>Intergroup Resource Interdependence</x:v>
      </x:c>
      <x:c r="D283" s="43" t="str">
        <x:v>Administrative, roster, or interaction record: dependence matrix</x:v>
      </x:c>
      <x:c r="E283" s="43" t="str">
        <x:v>Administrative / archival</x:v>
      </x:c>
      <x:c r="F283" s="43" t="str">
        <x:v>Low–high mutual dependence; reciprocal resource-flow share</x:v>
      </x:c>
      <x:c r="G283" s="43" t="str">
        <x:v>Moderate</x:v>
      </x:c>
      <x:c r="H283" s="43" t="str">
        <x:v>Contact selection and context complicate causal inference; contact amount, quality, friendship, equality, cooperation, and segregation are distinct. Coverage, opportunity, missingness, and selection into the recorded setting must be documented.</x:v>
      </x:c>
      <x:c r="I283" s="43" t="str">
        <x:v>SRC223; SRC228; SRC273</x:v>
      </x:c>
    </x:row>
    <x:row r="284" ht="62" customHeight="1">
      <x:c r="A284" s="43" t="str">
        <x:v>OP-SOC-0280</x:v>
      </x:c>
      <x:c r="B284" s="43" t="str">
        <x:v>SOC-094</x:v>
      </x:c>
      <x:c r="C284" s="43" t="str">
        <x:v>Boundary Permeability</x:v>
      </x:c>
      <x:c r="D284" s="43" t="str">
        <x:v>Construct-specific social assessment: Membership transitions</x:v>
      </x:c>
      <x:c r="E284" s="43" t="str">
        <x:v>Self-report / assessment</x:v>
      </x:c>
      <x:c r="F284" s="43" t="str">
        <x:v>Closed–restricted–open boundary; transition probability; mobility rate</x:v>
      </x:c>
      <x:c r="G284" s="43" t="str">
        <x:v>Moderate</x:v>
      </x:c>
      <x:c r="H284" s="43" t="str">
        <x:v>Contact selection and context complicate causal inference; contact amount, quality, friendship, equality, cooperation, and segregation are distinct. Use an explicit social referent, unit of analysis, behavior, setting, and time window.</x:v>
      </x:c>
      <x:c r="I284" s="43" t="str">
        <x:v>SRC216; SRC268; SRC273</x:v>
      </x:c>
    </x:row>
    <x:row r="285" ht="62" customHeight="1">
      <x:c r="A285" s="43" t="str">
        <x:v>OP-SOC-0281</x:v>
      </x:c>
      <x:c r="B285" s="43" t="str">
        <x:v>SOC-094</x:v>
      </x:c>
      <x:c r="C285" s="43" t="str">
        <x:v>Boundary Permeability</x:v>
      </x:c>
      <x:c r="D285" s="43" t="str">
        <x:v>Observed relational or group indicator: eligibility barriers</x:v>
      </x:c>
      <x:c r="E285" s="43" t="str">
        <x:v>Behavioral / clinical assessment</x:v>
      </x:c>
      <x:c r="F285" s="43" t="str">
        <x:v>Closed–restricted–open boundary; transition probability; mobility rate</x:v>
      </x:c>
      <x:c r="G285" s="43" t="str">
        <x:v>Moderate</x:v>
      </x:c>
      <x:c r="H285" s="43" t="str">
        <x:v>Contact selection and context complicate causal inference; contact amount, quality, friendship, equality, cooperation, and segregation are distinct. Observation is an indicator and should be triangulated across actors or episodes where feasible.</x:v>
      </x:c>
      <x:c r="I285" s="43" t="str">
        <x:v>SRC216; SRC268; SRC273</x:v>
      </x:c>
    </x:row>
    <x:row r="286" ht="62" customHeight="1">
      <x:c r="A286" s="43" t="str">
        <x:v>OP-SOC-0282</x:v>
      </x:c>
      <x:c r="B286" s="43" t="str">
        <x:v>SOC-094</x:v>
      </x:c>
      <x:c r="C286" s="43" t="str">
        <x:v>Boundary Permeability</x:v>
      </x:c>
      <x:c r="D286" s="43" t="str">
        <x:v>Administrative, roster, or interaction record: cross-boundary participation</x:v>
      </x:c>
      <x:c r="E286" s="43" t="str">
        <x:v>Administrative / archival</x:v>
      </x:c>
      <x:c r="F286" s="43" t="str">
        <x:v>Closed–restricted–open boundary; transition probability; mobility rate</x:v>
      </x:c>
      <x:c r="G286" s="43" t="str">
        <x:v>Moderate</x:v>
      </x:c>
      <x:c r="H286" s="43" t="str">
        <x:v>Contact selection and context complicate causal inference; contact amount, quality, friendship, equality, cooperation, and segregation are distinct. Coverage, opportunity, missingness, and selection into the recorded setting must be documented.</x:v>
      </x:c>
      <x:c r="I286" s="43" t="str">
        <x:v>SRC216; SRC268; SRC273</x:v>
      </x:c>
    </x:row>
    <x:row r="287" ht="62" customHeight="1">
      <x:c r="A287" s="43" t="str">
        <x:v>OP-SOC-0283</x:v>
      </x:c>
      <x:c r="B287" s="43" t="str">
        <x:v>SOC-095</x:v>
      </x:c>
      <x:c r="C287" s="43" t="str">
        <x:v>Cross-Group Tie Density</x:v>
      </x:c>
      <x:c r="D287" s="43" t="str">
        <x:v>Construct-specific social assessment: Between-group edge count</x:v>
      </x:c>
      <x:c r="E287" s="43" t="str">
        <x:v>Self-report / assessment</x:v>
      </x:c>
      <x:c r="F287" s="43" t="str">
        <x:v>Observed cross-group ties divided by possible cross-group ties</x:v>
      </x:c>
      <x:c r="G287" s="43" t="str">
        <x:v>Moderate</x:v>
      </x:c>
      <x:c r="H287" s="43" t="str">
        <x:v>Contact selection and context complicate causal inference; contact amount, quality, friendship, equality, cooperation, and segregation are distinct. Use an explicit social referent, unit of analysis, behavior, setting, and time window.</x:v>
      </x:c>
      <x:c r="I287" s="43" t="str">
        <x:v>SRC233; SRC234; SRC260</x:v>
      </x:c>
    </x:row>
    <x:row r="288" ht="62" customHeight="1">
      <x:c r="A288" s="43" t="str">
        <x:v>OP-SOC-0284</x:v>
      </x:c>
      <x:c r="B288" s="43" t="str">
        <x:v>SOC-095</x:v>
      </x:c>
      <x:c r="C288" s="43" t="str">
        <x:v>Cross-Group Tie Density</x:v>
      </x:c>
      <x:c r="D288" s="43" t="str">
        <x:v>Observed relational or group indicator: possible cross-group dyads</x:v>
      </x:c>
      <x:c r="E288" s="43" t="str">
        <x:v>Behavioral / clinical assessment</x:v>
      </x:c>
      <x:c r="F288" s="43" t="str">
        <x:v>Observed cross-group ties divided by possible cross-group ties</x:v>
      </x:c>
      <x:c r="G288" s="43" t="str">
        <x:v>Moderate</x:v>
      </x:c>
      <x:c r="H288" s="43" t="str">
        <x:v>Contact selection and context complicate causal inference; contact amount, quality, friendship, equality, cooperation, and segregation are distinct. Observation is an indicator and should be triangulated across actors or episodes where feasible.</x:v>
      </x:c>
      <x:c r="I288" s="43" t="str">
        <x:v>SRC233; SRC234; SRC260</x:v>
      </x:c>
    </x:row>
    <x:row r="289" ht="62" customHeight="1">
      <x:c r="A289" s="43" t="str">
        <x:v>OP-SOC-0285</x:v>
      </x:c>
      <x:c r="B289" s="43" t="str">
        <x:v>SOC-095</x:v>
      </x:c>
      <x:c r="C289" s="43" t="str">
        <x:v>Cross-Group Tie Density</x:v>
      </x:c>
      <x:c r="D289" s="43" t="str">
        <x:v>Administrative, roster, or interaction record: weighted cross-group density</x:v>
      </x:c>
      <x:c r="E289" s="43" t="str">
        <x:v>Administrative / archival</x:v>
      </x:c>
      <x:c r="F289" s="43" t="str">
        <x:v>Observed cross-group ties divided by possible cross-group ties</x:v>
      </x:c>
      <x:c r="G289" s="43" t="str">
        <x:v>Moderate</x:v>
      </x:c>
      <x:c r="H289" s="43" t="str">
        <x:v>Contact selection and context complicate causal inference; contact amount, quality, friendship, equality, cooperation, and segregation are distinct. Coverage, opportunity, missingness, and selection into the recorded setting must be documented.</x:v>
      </x:c>
      <x:c r="I289" s="43" t="str">
        <x:v>SRC233; SRC234; SRC260</x:v>
      </x:c>
    </x:row>
    <x:row r="290" ht="62" customHeight="1">
      <x:c r="A290" s="43" t="str">
        <x:v>OP-SOC-0286</x:v>
      </x:c>
      <x:c r="B290" s="43" t="str">
        <x:v>SOC-096</x:v>
      </x:c>
      <x:c r="C290" s="43" t="str">
        <x:v>Intergroup Status Inequality</x:v>
      </x:c>
      <x:c r="D290" s="43" t="str">
        <x:v>Construct-specific social assessment: Group prestige ratings</x:v>
      </x:c>
      <x:c r="E290" s="43" t="str">
        <x:v>Self-report / assessment</x:v>
      </x:c>
      <x:c r="F290" s="43" t="str">
        <x:v>Status-score gap; rank-distance; low–high inequality</x:v>
      </x:c>
      <x:c r="G290" s="43" t="str">
        <x:v>Moderate</x:v>
      </x:c>
      <x:c r="H290" s="43" t="str">
        <x:v>Contact selection and context complicate causal inference; contact amount, quality, friendship, equality, cooperation, and segregation are distinct. Use an explicit social referent, unit of analysis, behavior, setting, and time window.</x:v>
      </x:c>
      <x:c r="I290" s="43" t="str">
        <x:v>SRC228; SRC245; SRC273</x:v>
      </x:c>
    </x:row>
    <x:row r="291" ht="62" customHeight="1">
      <x:c r="A291" s="43" t="str">
        <x:v>OP-SOC-0287</x:v>
      </x:c>
      <x:c r="B291" s="43" t="str">
        <x:v>SOC-096</x:v>
      </x:c>
      <x:c r="C291" s="43" t="str">
        <x:v>Intergroup Status Inequality</x:v>
      </x:c>
      <x:c r="D291" s="43" t="str">
        <x:v>Observed relational or group indicator: deference patterns</x:v>
      </x:c>
      <x:c r="E291" s="43" t="str">
        <x:v>Behavioral / clinical assessment</x:v>
      </x:c>
      <x:c r="F291" s="43" t="str">
        <x:v>Status-score gap; rank-distance; low–high inequality</x:v>
      </x:c>
      <x:c r="G291" s="43" t="str">
        <x:v>Moderate</x:v>
      </x:c>
      <x:c r="H291" s="43" t="str">
        <x:v>Contact selection and context complicate causal inference; contact amount, quality, friendship, equality, cooperation, and segregation are distinct. Observation is an indicator and should be triangulated across actors or episodes where feasible.</x:v>
      </x:c>
      <x:c r="I291" s="43" t="str">
        <x:v>SRC228; SRC245; SRC273</x:v>
      </x:c>
    </x:row>
    <x:row r="292" ht="62" customHeight="1">
      <x:c r="A292" s="43" t="str">
        <x:v>OP-SOC-0288</x:v>
      </x:c>
      <x:c r="B292" s="43" t="str">
        <x:v>SOC-096</x:v>
      </x:c>
      <x:c r="C292" s="43" t="str">
        <x:v>Intergroup Status Inequality</x:v>
      </x:c>
      <x:c r="D292" s="43" t="str">
        <x:v>Administrative, roster, or interaction record: representation in high-status positions</x:v>
      </x:c>
      <x:c r="E292" s="43" t="str">
        <x:v>Administrative / archival</x:v>
      </x:c>
      <x:c r="F292" s="43" t="str">
        <x:v>Status-score gap; rank-distance; low–high inequality</x:v>
      </x:c>
      <x:c r="G292" s="43" t="str">
        <x:v>Moderate</x:v>
      </x:c>
      <x:c r="H292" s="43" t="str">
        <x:v>Contact selection and context complicate causal inference; contact amount, quality, friendship, equality, cooperation, and segregation are distinct. Coverage, opportunity, missingness, and selection into the recorded setting must be documented.</x:v>
      </x:c>
      <x:c r="I292" s="43" t="str">
        <x:v>SRC228; SRC245; SRC273</x:v>
      </x:c>
    </x:row>
    <x:row r="293" ht="62" customHeight="1">
      <x:c r="A293" s="43" t="str">
        <x:v>OP-SOC-0289</x:v>
      </x:c>
      <x:c r="B293" s="43" t="str">
        <x:v>SOC-097</x:v>
      </x:c>
      <x:c r="C293" s="43" t="str">
        <x:v>Cross-Cutting Membership Prevalence</x:v>
      </x:c>
      <x:c r="D293" s="43" t="str">
        <x:v>Construct-specific social assessment: Dual memberships</x:v>
      </x:c>
      <x:c r="E293" s="43" t="str">
        <x:v>Self-report / assessment</x:v>
      </x:c>
      <x:c r="F293" s="43" t="str">
        <x:v>0–1 actors with cross-cutting memberships; overlapping-membership share</x:v>
      </x:c>
      <x:c r="G293" s="43" t="str">
        <x:v>Moderate</x:v>
      </x:c>
      <x:c r="H293" s="43" t="str">
        <x:v>Contact selection and context complicate causal inference; contact amount, quality, friendship, equality, cooperation, and segregation are distinct. Use an explicit social referent, unit of analysis, behavior, setting, and time window.</x:v>
      </x:c>
      <x:c r="I293" s="43" t="str">
        <x:v>SRC216; SRC233; SRC273</x:v>
      </x:c>
    </x:row>
    <x:row r="294" ht="62" customHeight="1">
      <x:c r="A294" s="43" t="str">
        <x:v>OP-SOC-0290</x:v>
      </x:c>
      <x:c r="B294" s="43" t="str">
        <x:v>SOC-097</x:v>
      </x:c>
      <x:c r="C294" s="43" t="str">
        <x:v>Cross-Cutting Membership Prevalence</x:v>
      </x:c>
      <x:c r="D294" s="43" t="str">
        <x:v>Observed relational or group indicator: overlapping affiliation matrix</x:v>
      </x:c>
      <x:c r="E294" s="43" t="str">
        <x:v>Behavioral / clinical assessment</x:v>
      </x:c>
      <x:c r="F294" s="43" t="str">
        <x:v>0–1 actors with cross-cutting memberships; overlapping-membership share</x:v>
      </x:c>
      <x:c r="G294" s="43" t="str">
        <x:v>Moderate</x:v>
      </x:c>
      <x:c r="H294" s="43" t="str">
        <x:v>Contact selection and context complicate causal inference; contact amount, quality, friendship, equality, cooperation, and segregation are distinct. Observation is an indicator and should be triangulated across actors or episodes where feasible.</x:v>
      </x:c>
      <x:c r="I294" s="43" t="str">
        <x:v>SRC216; SRC233; SRC273</x:v>
      </x:c>
    </x:row>
    <x:row r="295" ht="62" customHeight="1">
      <x:c r="A295" s="43" t="str">
        <x:v>OP-SOC-0291</x:v>
      </x:c>
      <x:c r="B295" s="43" t="str">
        <x:v>SOC-097</x:v>
      </x:c>
      <x:c r="C295" s="43" t="str">
        <x:v>Cross-Cutting Membership Prevalence</x:v>
      </x:c>
      <x:c r="D295" s="43" t="str">
        <x:v>Administrative, roster, or interaction record: boundary-spanning roles</x:v>
      </x:c>
      <x:c r="E295" s="43" t="str">
        <x:v>Administrative / archival</x:v>
      </x:c>
      <x:c r="F295" s="43" t="str">
        <x:v>0–1 actors with cross-cutting memberships; overlapping-membership share</x:v>
      </x:c>
      <x:c r="G295" s="43" t="str">
        <x:v>Moderate</x:v>
      </x:c>
      <x:c r="H295" s="43" t="str">
        <x:v>Contact selection and context complicate causal inference; contact amount, quality, friendship, equality, cooperation, and segregation are distinct. Coverage, opportunity, missingness, and selection into the recorded setting must be documented.</x:v>
      </x:c>
      <x:c r="I295" s="43" t="str">
        <x:v>SRC216; SRC233; SRC273</x:v>
      </x:c>
    </x:row>
    <x:row r="296" ht="58" customHeight="1">
      <x:c r="A296"/>
      <x:c r="B296"/>
      <x:c r="C296"/>
      <x:c r="D296"/>
      <x:c r="E296"/>
      <x:c r="F296"/>
      <x:c r="G296"/>
      <x:c r="H296"/>
      <x:c r="I296"/>
    </x:row>
    <x:row r="297" ht="58" customHeight="1">
      <x:c r="A297"/>
      <x:c r="B297"/>
      <x:c r="C297"/>
      <x:c r="D297"/>
      <x:c r="E297"/>
      <x:c r="F297"/>
      <x:c r="G297"/>
      <x:c r="H297"/>
      <x:c r="I297"/>
    </x:row>
    <x:row r="298" ht="58" customHeight="1">
      <x:c r="A298"/>
      <x:c r="B298"/>
      <x:c r="C298"/>
      <x:c r="D298"/>
      <x:c r="E298"/>
      <x:c r="F298"/>
      <x:c r="G298"/>
      <x:c r="H298"/>
      <x:c r="I298"/>
    </x:row>
    <x:row r="299" ht="58" customHeight="1">
      <x:c r="A299"/>
      <x:c r="B299"/>
      <x:c r="C299"/>
      <x:c r="D299"/>
      <x:c r="E299"/>
      <x:c r="F299"/>
      <x:c r="G299"/>
      <x:c r="H299"/>
      <x:c r="I299"/>
    </x:row>
    <x:row r="300" ht="58" customHeight="1">
      <x:c r="A300"/>
      <x:c r="B300"/>
      <x:c r="C300"/>
      <x:c r="D300"/>
      <x:c r="E300"/>
      <x:c r="F300"/>
      <x:c r="G300"/>
      <x:c r="H300"/>
      <x:c r="I300"/>
    </x:row>
    <x:row r="301" ht="58" customHeight="1">
      <x:c r="A301"/>
      <x:c r="B301"/>
      <x:c r="C301"/>
      <x:c r="D301"/>
      <x:c r="E301"/>
      <x:c r="F301"/>
      <x:c r="G301"/>
      <x:c r="H301"/>
      <x:c r="I301"/>
    </x:row>
    <x:row r="302" ht="58" customHeight="1">
      <x:c r="A302"/>
      <x:c r="B302"/>
      <x:c r="C302"/>
      <x:c r="D302"/>
      <x:c r="E302"/>
      <x:c r="F302"/>
      <x:c r="G302"/>
      <x:c r="H302"/>
      <x:c r="I302"/>
    </x:row>
    <x:row r="303" ht="58" customHeight="1">
      <x:c r="A303"/>
      <x:c r="B303"/>
      <x:c r="C303"/>
      <x:c r="D303"/>
      <x:c r="E303"/>
      <x:c r="F303"/>
      <x:c r="G303"/>
      <x:c r="H303"/>
      <x:c r="I303"/>
    </x:row>
    <x:row r="304" ht="58" customHeight="1">
      <x:c r="A304"/>
      <x:c r="B304"/>
      <x:c r="C304"/>
      <x:c r="D304"/>
      <x:c r="E304"/>
      <x:c r="F304"/>
      <x:c r="G304"/>
      <x:c r="H304"/>
      <x:c r="I304"/>
    </x:row>
    <x:row r="305" ht="58" customHeight="1">
      <x:c r="A305"/>
      <x:c r="B305"/>
      <x:c r="C305"/>
      <x:c r="D305"/>
      <x:c r="E305"/>
      <x:c r="F305"/>
      <x:c r="G305"/>
      <x:c r="H305"/>
      <x:c r="I305"/>
    </x:row>
    <x:row r="306" ht="58" customHeight="1">
      <x:c r="A306"/>
      <x:c r="B306"/>
      <x:c r="C306"/>
      <x:c r="D306"/>
      <x:c r="E306"/>
      <x:c r="F306"/>
      <x:c r="G306"/>
      <x:c r="H306"/>
      <x:c r="I306"/>
    </x:row>
    <x:row r="307" ht="58" customHeight="1">
      <x:c r="A307"/>
      <x:c r="B307"/>
      <x:c r="C307"/>
      <x:c r="D307"/>
      <x:c r="E307"/>
      <x:c r="F307"/>
      <x:c r="G307"/>
      <x:c r="H307"/>
      <x:c r="I307"/>
    </x:row>
    <x:row r="308" ht="58" customHeight="1">
      <x:c r="A308"/>
      <x:c r="B308"/>
      <x:c r="C308"/>
      <x:c r="D308"/>
      <x:c r="E308"/>
      <x:c r="F308"/>
      <x:c r="G308"/>
      <x:c r="H308"/>
      <x:c r="I308"/>
    </x:row>
    <x:row r="309" ht="58" customHeight="1">
      <x:c r="A309"/>
      <x:c r="B309"/>
      <x:c r="C309"/>
      <x:c r="D309"/>
      <x:c r="E309"/>
      <x:c r="F309"/>
      <x:c r="G309"/>
      <x:c r="H309"/>
      <x:c r="I309"/>
    </x:row>
    <x:row r="310" ht="58" customHeight="1">
      <x:c r="A310"/>
      <x:c r="B310"/>
      <x:c r="C310"/>
      <x:c r="D310"/>
      <x:c r="E310"/>
      <x:c r="F310"/>
      <x:c r="G310"/>
      <x:c r="H310"/>
      <x:c r="I310"/>
    </x:row>
    <x:row r="311" ht="58" customHeight="1">
      <x:c r="A311"/>
      <x:c r="B311"/>
      <x:c r="C311"/>
      <x:c r="D311"/>
      <x:c r="E311"/>
      <x:c r="F311"/>
      <x:c r="G311"/>
      <x:c r="H311"/>
      <x:c r="I311"/>
    </x:row>
    <x:row r="312" ht="58" customHeight="1">
      <x:c r="A312"/>
      <x:c r="B312"/>
      <x:c r="C312"/>
      <x:c r="D312"/>
      <x:c r="E312"/>
      <x:c r="F312"/>
      <x:c r="G312"/>
      <x:c r="H312"/>
      <x:c r="I312"/>
    </x:row>
    <x:row r="313" ht="58" customHeight="1">
      <x:c r="A313"/>
      <x:c r="B313"/>
      <x:c r="C313"/>
      <x:c r="D313"/>
      <x:c r="E313"/>
      <x:c r="F313"/>
      <x:c r="G313"/>
      <x:c r="H313"/>
      <x:c r="I313"/>
    </x:row>
    <x:row r="314" ht="58" customHeight="1">
      <x:c r="A314"/>
      <x:c r="B314"/>
      <x:c r="C314"/>
      <x:c r="D314"/>
      <x:c r="E314"/>
      <x:c r="F314"/>
      <x:c r="G314"/>
      <x:c r="H314"/>
      <x:c r="I314"/>
    </x:row>
    <x:row r="315" ht="58" customHeight="1">
      <x:c r="A315"/>
      <x:c r="B315"/>
      <x:c r="C315"/>
      <x:c r="D315"/>
      <x:c r="E315"/>
      <x:c r="F315"/>
      <x:c r="G315"/>
      <x:c r="H315"/>
      <x:c r="I315"/>
    </x:row>
    <x:row r="316" ht="58" customHeight="1">
      <x:c r="A316"/>
      <x:c r="B316"/>
      <x:c r="C316"/>
      <x:c r="D316"/>
      <x:c r="E316"/>
      <x:c r="F316"/>
      <x:c r="G316"/>
      <x:c r="H316"/>
      <x:c r="I316"/>
    </x:row>
    <x:row r="317" ht="58" customHeight="1">
      <x:c r="A317"/>
      <x:c r="B317"/>
      <x:c r="C317"/>
      <x:c r="D317"/>
      <x:c r="E317"/>
      <x:c r="F317"/>
      <x:c r="G317"/>
      <x:c r="H317"/>
      <x:c r="I317"/>
    </x:row>
    <x:row r="318" ht="58" customHeight="1">
      <x:c r="A318"/>
      <x:c r="B318"/>
      <x:c r="C318"/>
      <x:c r="D318"/>
      <x:c r="E318"/>
      <x:c r="F318"/>
      <x:c r="G318"/>
      <x:c r="H318"/>
      <x:c r="I318"/>
    </x:row>
    <x:row r="319" ht="58" customHeight="1">
      <x:c r="A319"/>
      <x:c r="B319"/>
      <x:c r="C319"/>
      <x:c r="D319"/>
      <x:c r="E319"/>
      <x:c r="F319"/>
      <x:c r="G319"/>
      <x:c r="H319"/>
      <x:c r="I319"/>
    </x:row>
    <x:row r="320" ht="58" customHeight="1">
      <x:c r="A320"/>
      <x:c r="B320"/>
      <x:c r="C320"/>
      <x:c r="D320"/>
      <x:c r="E320"/>
      <x:c r="F320"/>
      <x:c r="G320"/>
      <x:c r="H320"/>
      <x:c r="I320"/>
    </x:row>
    <x:row r="321" ht="58" customHeight="1">
      <x:c r="A321"/>
      <x:c r="B321"/>
      <x:c r="C321"/>
      <x:c r="D321"/>
      <x:c r="E321"/>
      <x:c r="F321"/>
      <x:c r="G321"/>
      <x:c r="H321"/>
      <x:c r="I321"/>
    </x:row>
    <x:row r="322" ht="58" customHeight="1">
      <x:c r="A322"/>
      <x:c r="B322"/>
      <x:c r="C322"/>
      <x:c r="D322"/>
      <x:c r="E322"/>
      <x:c r="F322"/>
      <x:c r="G322"/>
      <x:c r="H322"/>
      <x:c r="I322"/>
    </x:row>
    <x:row r="323" ht="58" customHeight="1">
      <x:c r="A323"/>
      <x:c r="B323"/>
      <x:c r="C323"/>
      <x:c r="D323"/>
      <x:c r="E323"/>
      <x:c r="F323"/>
      <x:c r="G323"/>
      <x:c r="H323"/>
      <x:c r="I323"/>
    </x:row>
    <x:row r="324" ht="58" customHeight="1">
      <x:c r="A324"/>
      <x:c r="B324"/>
      <x:c r="C324"/>
      <x:c r="D324"/>
      <x:c r="E324"/>
      <x:c r="F324"/>
      <x:c r="G324"/>
      <x:c r="H324"/>
      <x:c r="I324"/>
    </x:row>
    <x:row r="325" ht="58" customHeight="1">
      <x:c r="A325"/>
      <x:c r="B325"/>
      <x:c r="C325"/>
      <x:c r="D325"/>
      <x:c r="E325"/>
      <x:c r="F325"/>
      <x:c r="G325"/>
      <x:c r="H325"/>
      <x:c r="I325"/>
    </x:row>
    <x:row r="326" ht="58" customHeight="1">
      <x:c r="A326"/>
      <x:c r="B326"/>
      <x:c r="C326"/>
      <x:c r="D326"/>
      <x:c r="E326"/>
      <x:c r="F326"/>
      <x:c r="G326"/>
      <x:c r="H326"/>
      <x:c r="I326"/>
    </x:row>
    <x:row r="327" ht="58" customHeight="1">
      <x:c r="A327"/>
      <x:c r="B327"/>
      <x:c r="C327"/>
      <x:c r="D327"/>
      <x:c r="E327"/>
      <x:c r="F327"/>
      <x:c r="G327"/>
      <x:c r="H327"/>
      <x:c r="I327"/>
    </x:row>
    <x:row r="328" ht="58" customHeight="1">
      <x:c r="A328"/>
      <x:c r="B328"/>
      <x:c r="C328"/>
      <x:c r="D328"/>
      <x:c r="E328"/>
      <x:c r="F328"/>
      <x:c r="G328"/>
      <x:c r="H328"/>
      <x:c r="I328"/>
    </x:row>
    <x:row r="329" ht="58" customHeight="1">
      <x:c r="A329"/>
      <x:c r="B329"/>
      <x:c r="C329"/>
      <x:c r="D329"/>
      <x:c r="E329"/>
      <x:c r="F329"/>
      <x:c r="G329"/>
      <x:c r="H329"/>
      <x:c r="I329"/>
    </x:row>
    <x:row r="330" ht="58" customHeight="1">
      <x:c r="A330"/>
      <x:c r="B330"/>
      <x:c r="C330"/>
      <x:c r="D330"/>
      <x:c r="E330"/>
      <x:c r="F330"/>
      <x:c r="G330"/>
      <x:c r="H330"/>
      <x:c r="I330"/>
    </x:row>
    <x:row r="331" ht="58" customHeight="1">
      <x:c r="A331"/>
      <x:c r="B331"/>
      <x:c r="C331"/>
      <x:c r="D331"/>
      <x:c r="E331"/>
      <x:c r="F331"/>
      <x:c r="G331"/>
      <x:c r="H331"/>
      <x:c r="I331"/>
    </x:row>
    <x:row r="332" ht="58" customHeight="1">
      <x:c r="A332"/>
      <x:c r="B332"/>
      <x:c r="C332"/>
      <x:c r="D332"/>
      <x:c r="E332"/>
      <x:c r="F332"/>
      <x:c r="G332"/>
      <x:c r="H332"/>
      <x:c r="I332"/>
    </x:row>
    <x:row r="333" ht="58" customHeight="1">
      <x:c r="A333"/>
      <x:c r="B333"/>
      <x:c r="C333"/>
      <x:c r="D333"/>
      <x:c r="E333"/>
      <x:c r="F333"/>
      <x:c r="G333"/>
      <x:c r="H333"/>
      <x:c r="I333"/>
    </x:row>
    <x:row r="334" ht="58" customHeight="1">
      <x:c r="A334"/>
      <x:c r="B334"/>
      <x:c r="C334"/>
      <x:c r="D334"/>
      <x:c r="E334"/>
      <x:c r="F334"/>
      <x:c r="G334"/>
      <x:c r="H334"/>
      <x:c r="I334"/>
    </x:row>
    <x:row r="335" ht="58" customHeight="1">
      <x:c r="A335"/>
      <x:c r="B335"/>
      <x:c r="C335"/>
      <x:c r="D335"/>
      <x:c r="E335"/>
      <x:c r="F335"/>
      <x:c r="G335"/>
      <x:c r="H335"/>
      <x:c r="I335"/>
    </x:row>
    <x:row r="336" ht="58" customHeight="1">
      <x:c r="A336"/>
      <x:c r="B336"/>
      <x:c r="C336"/>
      <x:c r="D336"/>
      <x:c r="E336"/>
      <x:c r="F336"/>
      <x:c r="G336"/>
      <x:c r="H336"/>
      <x:c r="I336"/>
    </x:row>
    <x:row r="337" ht="58" customHeight="1">
      <x:c r="A337"/>
      <x:c r="B337"/>
      <x:c r="C337"/>
      <x:c r="D337"/>
      <x:c r="E337"/>
      <x:c r="F337"/>
      <x:c r="G337"/>
      <x:c r="H337"/>
      <x:c r="I337"/>
    </x:row>
    <x:row r="338" ht="58" customHeight="1">
      <x:c r="A338"/>
      <x:c r="B338"/>
      <x:c r="C338"/>
      <x:c r="D338"/>
      <x:c r="E338"/>
      <x:c r="F338"/>
      <x:c r="G338"/>
      <x:c r="H338"/>
      <x:c r="I338"/>
    </x:row>
    <x:row r="339" ht="58" customHeight="1">
      <x:c r="A339"/>
      <x:c r="B339"/>
      <x:c r="C339"/>
      <x:c r="D339"/>
      <x:c r="E339"/>
      <x:c r="F339"/>
      <x:c r="G339"/>
      <x:c r="H339"/>
      <x:c r="I339"/>
    </x:row>
    <x:row r="340" ht="58" customHeight="1">
      <x:c r="A340"/>
      <x:c r="B340"/>
      <x:c r="C340"/>
      <x:c r="D340"/>
      <x:c r="E340"/>
      <x:c r="F340"/>
      <x:c r="G340"/>
      <x:c r="H340"/>
      <x:c r="I340"/>
    </x:row>
    <x:row r="341" ht="58" customHeight="1">
      <x:c r="A341"/>
      <x:c r="B341"/>
      <x:c r="C341"/>
      <x:c r="D341"/>
      <x:c r="E341"/>
      <x:c r="F341"/>
      <x:c r="G341"/>
      <x:c r="H341"/>
      <x:c r="I341"/>
    </x:row>
    <x:row r="342" ht="58" customHeight="1">
      <x:c r="A342"/>
      <x:c r="B342"/>
      <x:c r="C342"/>
      <x:c r="D342"/>
      <x:c r="E342"/>
      <x:c r="F342"/>
      <x:c r="G342"/>
      <x:c r="H342"/>
      <x:c r="I342"/>
    </x:row>
    <x:row r="343" ht="58" customHeight="1">
      <x:c r="A343"/>
      <x:c r="B343"/>
      <x:c r="C343"/>
      <x:c r="D343"/>
      <x:c r="E343"/>
      <x:c r="F343"/>
      <x:c r="G343"/>
      <x:c r="H343"/>
      <x:c r="I343"/>
    </x:row>
    <x:row r="344" ht="58" customHeight="1">
      <x:c r="A344"/>
      <x:c r="B344"/>
      <x:c r="C344"/>
      <x:c r="D344"/>
      <x:c r="E344"/>
      <x:c r="F344"/>
      <x:c r="G344"/>
      <x:c r="H344"/>
      <x:c r="I344"/>
    </x:row>
    <x:row r="345" ht="58" customHeight="1">
      <x:c r="A345"/>
      <x:c r="B345"/>
      <x:c r="C345"/>
      <x:c r="D345"/>
      <x:c r="E345"/>
      <x:c r="F345"/>
      <x:c r="G345"/>
      <x:c r="H345"/>
      <x:c r="I345"/>
    </x:row>
    <x:row r="346" ht="58" customHeight="1">
      <x:c r="A346"/>
      <x:c r="B346"/>
      <x:c r="C346"/>
      <x:c r="D346"/>
      <x:c r="E346"/>
      <x:c r="F346"/>
      <x:c r="G346"/>
      <x:c r="H346"/>
      <x:c r="I346"/>
    </x:row>
    <x:row r="347" ht="58" customHeight="1">
      <x:c r="A347"/>
      <x:c r="B347"/>
      <x:c r="C347"/>
      <x:c r="D347"/>
      <x:c r="E347"/>
      <x:c r="F347"/>
      <x:c r="G347"/>
      <x:c r="H347"/>
      <x:c r="I347"/>
    </x:row>
    <x:row r="348" ht="58" customHeight="1">
      <x:c r="A348"/>
      <x:c r="B348"/>
      <x:c r="C348"/>
      <x:c r="D348"/>
      <x:c r="E348"/>
      <x:c r="F348"/>
      <x:c r="G348"/>
      <x:c r="H348"/>
      <x:c r="I348"/>
    </x:row>
    <x:row r="349" ht="58" customHeight="1">
      <x:c r="A349"/>
      <x:c r="B349"/>
      <x:c r="C349"/>
      <x:c r="D349"/>
      <x:c r="E349"/>
      <x:c r="F349"/>
      <x:c r="G349"/>
      <x:c r="H349"/>
      <x:c r="I349"/>
    </x:row>
    <x:row r="350" ht="58" customHeight="1">
      <x:c r="A350"/>
      <x:c r="B350"/>
      <x:c r="C350"/>
      <x:c r="D350"/>
      <x:c r="E350"/>
      <x:c r="F350"/>
      <x:c r="G350"/>
      <x:c r="H350"/>
      <x:c r="I350"/>
    </x:row>
    <x:row r="351" ht="58" customHeight="1">
      <x:c r="A351"/>
      <x:c r="B351"/>
      <x:c r="C351"/>
      <x:c r="D351"/>
      <x:c r="E351"/>
      <x:c r="F351"/>
      <x:c r="G351"/>
      <x:c r="H351"/>
      <x:c r="I351"/>
    </x:row>
    <x:row r="352" ht="58" customHeight="1">
      <x:c r="A352"/>
      <x:c r="B352"/>
      <x:c r="C352"/>
      <x:c r="D352"/>
      <x:c r="E352"/>
      <x:c r="F352"/>
      <x:c r="G352"/>
      <x:c r="H352"/>
      <x:c r="I352"/>
    </x:row>
    <x:row r="353" ht="58" customHeight="1">
      <x:c r="A353"/>
      <x:c r="B353"/>
      <x:c r="C353"/>
      <x:c r="D353"/>
      <x:c r="E353"/>
      <x:c r="F353"/>
      <x:c r="G353"/>
      <x:c r="H353"/>
      <x:c r="I353"/>
    </x:row>
    <x:row r="354" ht="58" customHeight="1">
      <x:c r="A354"/>
      <x:c r="B354"/>
      <x:c r="C354"/>
      <x:c r="D354"/>
      <x:c r="E354"/>
      <x:c r="F354"/>
      <x:c r="G354"/>
      <x:c r="H354"/>
      <x:c r="I354"/>
    </x:row>
    <x:row r="355" ht="58" customHeight="1">
      <x:c r="A355"/>
      <x:c r="B355"/>
      <x:c r="C355"/>
      <x:c r="D355"/>
      <x:c r="E355"/>
      <x:c r="F355"/>
      <x:c r="G355"/>
      <x:c r="H355"/>
      <x:c r="I355"/>
    </x:row>
    <x:row r="356" ht="58" customHeight="1">
      <x:c r="A356"/>
      <x:c r="B356"/>
      <x:c r="C356"/>
      <x:c r="D356"/>
      <x:c r="E356"/>
      <x:c r="F356"/>
      <x:c r="G356"/>
      <x:c r="H356"/>
      <x:c r="I356"/>
    </x:row>
    <x:row r="357" ht="58" customHeight="1">
      <x:c r="A357"/>
      <x:c r="B357"/>
      <x:c r="C357"/>
      <x:c r="D357"/>
      <x:c r="E357"/>
      <x:c r="F357"/>
      <x:c r="G357"/>
      <x:c r="H357"/>
      <x:c r="I357"/>
    </x:row>
    <x:row r="358" ht="58" customHeight="1">
      <x:c r="A358"/>
      <x:c r="B358"/>
      <x:c r="C358"/>
      <x:c r="D358"/>
      <x:c r="E358"/>
      <x:c r="F358"/>
      <x:c r="G358"/>
      <x:c r="H358"/>
      <x:c r="I358"/>
    </x:row>
    <x:row r="359" ht="58" customHeight="1">
      <x:c r="A359"/>
      <x:c r="B359"/>
      <x:c r="C359"/>
      <x:c r="D359"/>
      <x:c r="E359"/>
      <x:c r="F359"/>
      <x:c r="G359"/>
      <x:c r="H359"/>
      <x:c r="I359"/>
    </x:row>
    <x:row r="360" ht="58" customHeight="1">
      <x:c r="A360"/>
      <x:c r="B360"/>
      <x:c r="C360"/>
      <x:c r="D360"/>
      <x:c r="E360"/>
      <x:c r="F360"/>
      <x:c r="G360"/>
      <x:c r="H360"/>
      <x:c r="I360"/>
    </x:row>
    <x:row r="361" ht="58" customHeight="1">
      <x:c r="A361"/>
      <x:c r="B361"/>
      <x:c r="C361"/>
      <x:c r="D361"/>
      <x:c r="E361"/>
      <x:c r="F361"/>
      <x:c r="G361"/>
      <x:c r="H361"/>
      <x:c r="I361"/>
    </x:row>
    <x:row r="362" ht="58" customHeight="1">
      <x:c r="A362"/>
      <x:c r="B362"/>
      <x:c r="C362"/>
      <x:c r="D362"/>
      <x:c r="E362"/>
      <x:c r="F362"/>
      <x:c r="G362"/>
      <x:c r="H362"/>
      <x:c r="I362"/>
    </x:row>
    <x:row r="363" ht="58" customHeight="1">
      <x:c r="A363"/>
      <x:c r="B363"/>
      <x:c r="C363"/>
      <x:c r="D363"/>
      <x:c r="E363"/>
      <x:c r="F363"/>
      <x:c r="G363"/>
      <x:c r="H363"/>
      <x:c r="I363"/>
    </x:row>
    <x:row r="364" ht="58" customHeight="1">
      <x:c r="A364"/>
      <x:c r="B364"/>
      <x:c r="C364"/>
      <x:c r="D364"/>
      <x:c r="E364"/>
      <x:c r="F364"/>
      <x:c r="G364"/>
      <x:c r="H364"/>
      <x:c r="I364"/>
    </x:row>
    <x:row r="365" ht="58" customHeight="1">
      <x:c r="A365"/>
      <x:c r="B365"/>
      <x:c r="C365"/>
      <x:c r="D365"/>
      <x:c r="E365"/>
      <x:c r="F365"/>
      <x:c r="G365"/>
      <x:c r="H365"/>
      <x:c r="I365"/>
    </x:row>
    <x:row r="366" ht="58" customHeight="1">
      <x:c r="A366"/>
      <x:c r="B366"/>
      <x:c r="C366"/>
      <x:c r="D366"/>
      <x:c r="E366"/>
      <x:c r="F366"/>
      <x:c r="G366"/>
      <x:c r="H366"/>
      <x:c r="I366"/>
    </x:row>
    <x:row r="367" ht="58" customHeight="1">
      <x:c r="A367"/>
      <x:c r="B367"/>
      <x:c r="C367"/>
      <x:c r="D367"/>
      <x:c r="E367"/>
      <x:c r="F367"/>
      <x:c r="G367"/>
      <x:c r="H367"/>
      <x:c r="I367"/>
    </x:row>
    <x:row r="368" ht="58" customHeight="1">
      <x:c r="A368"/>
      <x:c r="B368"/>
      <x:c r="C368"/>
      <x:c r="D368"/>
      <x:c r="E368"/>
      <x:c r="F368"/>
      <x:c r="G368"/>
      <x:c r="H368"/>
      <x:c r="I368"/>
    </x:row>
    <x:row r="369" ht="58" customHeight="1">
      <x:c r="A369"/>
      <x:c r="B369"/>
      <x:c r="C369"/>
      <x:c r="D369"/>
      <x:c r="E369"/>
      <x:c r="F369"/>
      <x:c r="G369"/>
      <x:c r="H369"/>
      <x:c r="I369"/>
    </x:row>
    <x:row r="370" ht="58" customHeight="1">
      <x:c r="A370"/>
      <x:c r="B370"/>
      <x:c r="C370"/>
      <x:c r="D370"/>
      <x:c r="E370"/>
      <x:c r="F370"/>
      <x:c r="G370"/>
      <x:c r="H370"/>
      <x:c r="I370"/>
    </x:row>
    <x:row r="371" ht="58" customHeight="1">
      <x:c r="A371"/>
      <x:c r="B371"/>
      <x:c r="C371"/>
      <x:c r="D371"/>
      <x:c r="E371"/>
      <x:c r="F371"/>
      <x:c r="G371"/>
      <x:c r="H371"/>
      <x:c r="I371"/>
    </x:row>
    <x:row r="372" ht="58" customHeight="1">
      <x:c r="A372"/>
      <x:c r="B372"/>
      <x:c r="C372"/>
      <x:c r="D372"/>
      <x:c r="E372"/>
      <x:c r="F372"/>
      <x:c r="G372"/>
      <x:c r="H372"/>
      <x:c r="I372"/>
    </x:row>
    <x:row r="373" ht="58" customHeight="1">
      <x:c r="A373"/>
      <x:c r="B373"/>
      <x:c r="C373"/>
      <x:c r="D373"/>
      <x:c r="E373"/>
      <x:c r="F373"/>
      <x:c r="G373"/>
      <x:c r="H373"/>
      <x:c r="I373"/>
    </x:row>
    <x:row r="374" ht="58" customHeight="1">
      <x:c r="A374"/>
      <x:c r="B374"/>
      <x:c r="C374"/>
      <x:c r="D374"/>
      <x:c r="E374"/>
      <x:c r="F374"/>
      <x:c r="G374"/>
      <x:c r="H374"/>
      <x:c r="I374"/>
    </x:row>
    <x:row r="375" ht="58" customHeight="1">
      <x:c r="A375"/>
      <x:c r="B375"/>
      <x:c r="C375"/>
      <x:c r="D375"/>
      <x:c r="E375"/>
      <x:c r="F375"/>
      <x:c r="G375"/>
      <x:c r="H375"/>
      <x:c r="I375"/>
    </x:row>
    <x:row r="376" ht="58" customHeight="1">
      <x:c r="A376"/>
      <x:c r="B376"/>
      <x:c r="C376"/>
      <x:c r="D376"/>
      <x:c r="E376"/>
      <x:c r="F376"/>
      <x:c r="G376"/>
      <x:c r="H376"/>
      <x:c r="I376"/>
    </x:row>
    <x:row r="377" ht="58" customHeight="1">
      <x:c r="A377"/>
      <x:c r="B377"/>
      <x:c r="C377"/>
      <x:c r="D377"/>
      <x:c r="E377"/>
      <x:c r="F377"/>
      <x:c r="G377"/>
      <x:c r="H377"/>
      <x:c r="I377"/>
    </x:row>
    <x:row r="378" ht="58" customHeight="1">
      <x:c r="A378"/>
      <x:c r="B378"/>
      <x:c r="C378"/>
      <x:c r="D378"/>
      <x:c r="E378"/>
      <x:c r="F378"/>
      <x:c r="G378"/>
      <x:c r="H378"/>
      <x:c r="I378"/>
    </x:row>
    <x:row r="379" ht="58" customHeight="1">
      <x:c r="A379"/>
      <x:c r="B379"/>
      <x:c r="C379"/>
      <x:c r="D379"/>
      <x:c r="E379"/>
      <x:c r="F379"/>
      <x:c r="G379"/>
      <x:c r="H379"/>
      <x:c r="I379"/>
    </x:row>
    <x:row r="380" ht="58" customHeight="1">
      <x:c r="A380"/>
      <x:c r="B380"/>
      <x:c r="C380"/>
      <x:c r="D380"/>
      <x:c r="E380"/>
      <x:c r="F380"/>
      <x:c r="G380"/>
      <x:c r="H380"/>
      <x:c r="I380"/>
    </x:row>
    <x:row r="381" ht="58" customHeight="1">
      <x:c r="A381"/>
      <x:c r="B381"/>
      <x:c r="C381"/>
      <x:c r="D381"/>
      <x:c r="E381"/>
      <x:c r="F381"/>
      <x:c r="G381"/>
      <x:c r="H381"/>
      <x:c r="I381"/>
    </x:row>
    <x:row r="382" ht="58" customHeight="1">
      <x:c r="A382"/>
      <x:c r="B382"/>
      <x:c r="C382"/>
      <x:c r="D382"/>
      <x:c r="E382"/>
      <x:c r="F382"/>
      <x:c r="G382"/>
      <x:c r="H382"/>
      <x:c r="I382"/>
    </x:row>
    <x:row r="383" ht="58" customHeight="1">
      <x:c r="A383"/>
      <x:c r="B383"/>
      <x:c r="C383"/>
      <x:c r="D383"/>
      <x:c r="E383"/>
      <x:c r="F383"/>
      <x:c r="G383"/>
      <x:c r="H383"/>
      <x:c r="I383"/>
    </x:row>
    <x:row r="384" ht="58" customHeight="1">
      <x:c r="A384"/>
      <x:c r="B384"/>
      <x:c r="C384"/>
      <x:c r="D384"/>
      <x:c r="E384"/>
      <x:c r="F384"/>
      <x:c r="G384"/>
      <x:c r="H384"/>
      <x:c r="I384"/>
    </x:row>
    <x:row r="385" ht="58" customHeight="1">
      <x:c r="A385"/>
      <x:c r="B385"/>
      <x:c r="C385"/>
      <x:c r="D385"/>
      <x:c r="E385"/>
      <x:c r="F385"/>
      <x:c r="G385"/>
      <x:c r="H385"/>
      <x:c r="I385"/>
    </x:row>
    <x:row r="386" ht="58" customHeight="1">
      <x:c r="A386"/>
      <x:c r="B386"/>
      <x:c r="C386"/>
      <x:c r="D386"/>
      <x:c r="E386"/>
      <x:c r="F386"/>
      <x:c r="G386"/>
      <x:c r="H386"/>
      <x:c r="I386"/>
    </x:row>
    <x:row r="387" ht="58" customHeight="1">
      <x:c r="A387"/>
      <x:c r="B387"/>
      <x:c r="C387"/>
      <x:c r="D387"/>
      <x:c r="E387"/>
      <x:c r="F387"/>
      <x:c r="G387"/>
      <x:c r="H387"/>
      <x:c r="I387"/>
    </x:row>
    <x:row r="388" ht="58" customHeight="1">
      <x:c r="A388"/>
      <x:c r="B388"/>
      <x:c r="C388"/>
      <x:c r="D388"/>
      <x:c r="E388"/>
      <x:c r="F388"/>
      <x:c r="G388"/>
      <x:c r="H388"/>
      <x:c r="I388"/>
    </x:row>
    <x:row r="389" ht="58" customHeight="1">
      <x:c r="A389"/>
      <x:c r="B389"/>
      <x:c r="C389"/>
      <x:c r="D389"/>
      <x:c r="E389"/>
      <x:c r="F389"/>
      <x:c r="G389"/>
      <x:c r="H389"/>
      <x:c r="I389"/>
    </x:row>
    <x:row r="390" ht="58" customHeight="1">
      <x:c r="A390"/>
      <x:c r="B390"/>
      <x:c r="C390"/>
      <x:c r="D390"/>
      <x:c r="E390"/>
      <x:c r="F390"/>
      <x:c r="G390"/>
      <x:c r="H390"/>
      <x:c r="I390"/>
    </x:row>
    <x:row r="391" ht="58" customHeight="1">
      <x:c r="A391"/>
      <x:c r="B391"/>
      <x:c r="C391"/>
      <x:c r="D391"/>
      <x:c r="E391"/>
      <x:c r="F391"/>
      <x:c r="G391"/>
      <x:c r="H391"/>
      <x:c r="I391"/>
    </x:row>
    <x:row r="392" ht="58" customHeight="1">
      <x:c r="A392"/>
      <x:c r="B392"/>
      <x:c r="C392"/>
      <x:c r="D392"/>
      <x:c r="E392"/>
      <x:c r="F392"/>
      <x:c r="G392"/>
      <x:c r="H392"/>
      <x:c r="I392"/>
    </x:row>
    <x:row r="393" ht="58" customHeight="1">
      <x:c r="A393"/>
      <x:c r="B393"/>
      <x:c r="C393"/>
      <x:c r="D393"/>
      <x:c r="E393"/>
      <x:c r="F393"/>
      <x:c r="G393"/>
      <x:c r="H393"/>
      <x:c r="I393"/>
    </x:row>
    <x:row r="394" ht="58" customHeight="1">
      <x:c r="A394"/>
      <x:c r="B394"/>
      <x:c r="C394"/>
      <x:c r="D394"/>
      <x:c r="E394"/>
      <x:c r="F394"/>
      <x:c r="G394"/>
      <x:c r="H394"/>
      <x:c r="I394"/>
    </x:row>
    <x:row r="395" ht="58" customHeight="1">
      <x:c r="A395"/>
      <x:c r="B395"/>
      <x:c r="C395"/>
      <x:c r="D395"/>
      <x:c r="E395"/>
      <x:c r="F395"/>
      <x:c r="G395"/>
      <x:c r="H395"/>
      <x:c r="I395"/>
    </x:row>
    <x:row r="396" ht="58" customHeight="1">
      <x:c r="A396"/>
      <x:c r="B396"/>
      <x:c r="C396"/>
      <x:c r="D396"/>
      <x:c r="E396"/>
      <x:c r="F396"/>
      <x:c r="G396"/>
      <x:c r="H396"/>
      <x:c r="I396"/>
    </x:row>
    <x:row r="397" ht="58" customHeight="1">
      <x:c r="A397"/>
      <x:c r="B397"/>
      <x:c r="C397"/>
      <x:c r="D397"/>
      <x:c r="E397"/>
      <x:c r="F397"/>
      <x:c r="G397"/>
      <x:c r="H397"/>
      <x:c r="I397"/>
    </x:row>
  </x:sheetData>
  <x:mergeCells>
    <x:mergeCell ref="A1:I1"/>
    <x:mergeCell ref="A2:I2"/>
  </x:mergeCells>
  <x:dataValidations count="4">
    <x:dataValidation type="list" sqref="E5:E397">
      <x:formula1>"Self-report / assessment,Physiological / sensor,Behavioral / clinical assessment,Administrative / archival,Expert elicitation,Other"</x:formula1>
    </x:dataValidation>
    <x:dataValidation type="list" sqref="G5:G397">
      <x:formula1>"High,Moderate,Low"</x:formula1>
    </x:dataValidation>
    <x:dataValidation type="list" sqref="E5:E295">
      <x:formula1>"Self-report / assessment,Physiological / sensor,Behavioral / clinical assessment,Administrative / archival,Expert elicitation,Other"</x:formula1>
    </x:dataValidation>
    <x:dataValidation type="list" sqref="G5:G295">
      <x:formula1>"High,Moderate,Low"</x:formula1>
    </x:dataValidation>
  </x:dataValidations>
  <x:pageMargins left="0.7" right="0.7" top="0.75" bottom="0.75" header="0.3" footer="0.3"/>
  <x:tableParts count="1">
    <x:tablePart xmlns:r="http://schemas.openxmlformats.org/officeDocument/2006/relationships" r:id="Rb1cb6e4a5d2e4a9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38" hidden="0" customWidth="1"/>
    <x:col min="3" max="3" width="27" hidden="0" customWidth="1"/>
    <x:col min="4" max="4" width="24" hidden="0" customWidth="1"/>
    <x:col min="5" max="5" width="30" hidden="0" customWidth="1"/>
    <x:col min="6" max="6" width="50" hidden="0" customWidth="1"/>
    <x:col min="7" max="7" width="54" hidden="0" customWidth="1"/>
    <x:col min="8" max="8" width="38" hidden="0" customWidth="1"/>
  </x:cols>
  <x:sheetData>
    <x:row r="1" ht="30" customHeight="1">
      <x:c r="A1" s="70" t="str">
        <x:v>PSYWERX Social Driver Ontology — Cautions &amp; Exclusions</x:v>
      </x:c>
      <x:c r="B1" s="70"/>
      <x:c r="C1" s="70"/>
      <x:c r="D1" s="70"/>
      <x:c r="E1" s="70"/>
      <x:c r="F1" s="70"/>
      <x:c r="G1" s="70"/>
      <x:c r="H1" s="70"/>
    </x:row>
    <x:row r="2" ht="46" customHeight="1">
      <x:c r="A2" s="73" t="str">
        <x:v>Scientific cautions, level and boundary rules, exclusions, and a complete legacy migration ledger. Every one of the 57 source candidates has an explicit disposition and canonical target where applicable.</x:v>
      </x:c>
      <x:c r="B2" s="73"/>
      <x:c r="C2" s="73"/>
      <x:c r="D2" s="73"/>
      <x:c r="E2" s="73"/>
      <x:c r="F2" s="73"/>
      <x:c r="G2" s="73"/>
      <x:c r="H2" s="73"/>
    </x:row>
    <x:row r="3" ht="8" customHeight="1">
      <x:c r="A3" s="43"/>
      <x:c r="B3" s="43"/>
      <x:c r="C3" s="43"/>
      <x:c r="D3" s="43"/>
      <x:c r="E3" s="43"/>
      <x:c r="F3" s="43"/>
      <x:c r="G3" s="43"/>
      <x:c r="H3" s="43"/>
    </x:row>
    <x:row r="4" ht="48" customHeight="1">
      <x:c r="A4" s="76" t="str">
        <x:v>Record ID</x:v>
      </x:c>
      <x:c r="B4" s="76" t="str">
        <x:v>Candidate / Claim</x:v>
      </x:c>
      <x:c r="C4" s="76" t="str">
        <x:v>Record Type</x:v>
      </x:c>
      <x:c r="D4" s="76" t="str">
        <x:v>Disposition</x:v>
      </x:c>
      <x:c r="E4" s="76" t="str">
        <x:v>Canonical Target ID</x:v>
      </x:c>
      <x:c r="F4" s="76" t="str">
        <x:v>Rationale / Rule</x:v>
      </x:c>
      <x:c r="G4" s="76" t="str">
        <x:v>Evidence / Notes</x:v>
      </x:c>
      <x:c r="H4" s="76" t="str">
        <x:v>Cross-Layer Flag</x:v>
      </x:c>
    </x:row>
    <x:row r="5" ht="66" customHeight="1">
      <x:c r="A5" s="43" t="str">
        <x:v>CAU-053</x:v>
      </x:c>
      <x:c r="B5" s="43" t="str">
        <x:v>Observed norm versus perceived norm</x:v>
      </x:c>
      <x:c r="C5" s="43" t="str">
        <x:v>Boundary decision</x:v>
      </x:c>
      <x:c r="D5" s="43" t="str">
        <x:v>Retained</x:v>
      </x:c>
      <x:c r="E5" s="43" t="str">
        <x:v>SOC-001; SOC-002</x:v>
      </x:c>
      <x:c r="F5" s="43" t="str">
        <x:v>Layer 3 records externally instantiated group conditions; Layer 2 retains Perceived Descriptive Norm and Perceived Injunctive Norm.</x:v>
      </x:c>
      <x:c r="G5" s="43" t="str">
        <x:v>Relate rather than duplicate the social condition and the individual's estimate of it.</x:v>
      </x:c>
      <x:c r="H5" s="43" t="str">
        <x:v>Psychological; Cultural</x:v>
      </x:c>
    </x:row>
    <x:row r="6" ht="66" customHeight="1">
      <x:c r="A6" s="43" t="str">
        <x:v>CAU-054</x:v>
      </x:c>
      <x:c r="B6" s="43" t="str">
        <x:v>Layer 2 norm-placement conflict</x:v>
      </x:c>
      <x:c r="C6" s="43" t="str">
        <x:v>Cross-layer harmonization flag</x:v>
      </x:c>
      <x:c r="D6" s="43" t="str">
        <x:v>Cross-layer review</x:v>
      </x:c>
      <x:c r="E6" s="43" t="str">
        <x:v>SOC-001; SOC-002</x:v>
      </x:c>
      <x:c r="F6" s="43" t="str">
        <x:v>The Layer 3 prompt examples placed some perceived norms in Social, but the completed Layer 2 workbook already assigned them to Psychological under the nature-of-variable rule.</x:v>
      </x:c>
      <x:c r="G6" s="43" t="str">
        <x:v>No Layer 2 record was changed. Ontology-wide harmonization should confirm the external-condition versus internal-perception split.</x:v>
      </x:c>
      <x:c r="H6" s="43" t="str">
        <x:v>Psychological</x:v>
      </x:c>
    </x:row>
    <x:row r="7" ht="66" customHeight="1">
      <x:c r="A7" s="43" t="str">
        <x:v>CAU-055</x:v>
      </x:c>
      <x:c r="B7" s="43" t="str">
        <x:v>Social norm versus cultural meaning or institutional rule</x:v>
      </x:c>
      <x:c r="C7" s="43" t="str">
        <x:v>Boundary decision</x:v>
      </x:c>
      <x:c r="D7" s="43" t="str">
        <x:v>Cross-layer review</x:v>
      </x:c>
      <x:c r="E7" s="43" t="str">
        <x:v>SOC-001; SOC-002; SOC-006</x:v>
      </x:c>
      <x:c r="F7" s="43" t="str">
        <x:v>Social records observable group patterns and informal enforcement; enduring shared meanings belong to Cultural and formal rules or penalties to Institutional / Structural.</x:v>
      </x:c>
      <x:c r="G7" s="43" t="str">
        <x:v>A single phenomenon may involve linked nodes across all three layers.</x:v>
      </x:c>
      <x:c r="H7" s="43" t="str">
        <x:v>Cultural; Institutional / Structural</x:v>
      </x:c>
    </x:row>
    <x:row r="8" ht="66" customHeight="1">
      <x:c r="A8" s="43" t="str">
        <x:v>CAU-056</x:v>
      </x:c>
      <x:c r="B8" s="43" t="str">
        <x:v>Pluralistic ignorance is a discrepancy pattern</x:v>
      </x:c>
      <x:c r="C8" s="43" t="str">
        <x:v>Exclusion rule</x:v>
      </x:c>
      <x:c r="D8" s="43" t="str">
        <x:v>Excluded / reclassified</x:v>
      </x:c>
      <x:c r="E8" s="43" t="str"/>
      <x:c r="F8" s="43" t="str">
        <x:v>Pluralistic ignorance combines private attitudes, estimates of others, and an aggregate discrepancy; it is not a sufficiently atomic Social driver.</x:v>
      </x:c>
      <x:c r="G8" s="43" t="str">
        <x:v>Represent the component psychological perceptions and measured social prevalence, then derive the discrepancy in analysis.</x:v>
      </x:c>
      <x:c r="H8" s="43" t="str">
        <x:v>Psychological; Informational</x:v>
      </x:c>
    </x:row>
    <x:row r="9" ht="66" customHeight="1">
      <x:c r="A9" s="43" t="str">
        <x:v>CAU-057</x:v>
      </x:c>
      <x:c r="B9" s="43" t="str">
        <x:v>Informal sanctions versus formal penalties</x:v>
      </x:c>
      <x:c r="C9" s="43" t="str">
        <x:v>Boundary decision</x:v>
      </x:c>
      <x:c r="D9" s="43" t="str">
        <x:v>Retained</x:v>
      </x:c>
      <x:c r="E9" s="43" t="str">
        <x:v>SOC-006; SOC-007</x:v>
      </x:c>
      <x:c r="F9" s="43" t="str">
        <x:v>Peer disapproval, ostracism, and informal punishment are Social; legally or organizationally codified sanctions are Institutional / Structural.</x:v>
      </x:c>
      <x:c r="G9" s="43" t="str">
        <x:v>Sanction probability and severity remain separate variables.</x:v>
      </x:c>
      <x:c r="H9" s="43" t="str">
        <x:v>Institutional / Structural</x:v>
      </x:c>
    </x:row>
    <x:row r="10" ht="66" customHeight="1">
      <x:c r="A10" s="43" t="str">
        <x:v>CAU-058</x:v>
      </x:c>
      <x:c r="B10" s="43" t="str">
        <x:v>Conformity and social influence are not canonical states</x:v>
      </x:c>
      <x:c r="C10" s="43" t="str">
        <x:v>Exclusion rule</x:v>
      </x:c>
      <x:c r="D10" s="43" t="str">
        <x:v>Excluded / reclassified</x:v>
      </x:c>
      <x:c r="E10" s="43" t="str">
        <x:v>SOC-009; SOC-010; SOC-011; SOC-013</x:v>
      </x:c>
      <x:c r="F10" s="43" t="str">
        <x:v>Conformity is a behavioral response and informational or normative influence are mechanisms; the ontology retains variable social conditions that make them more or less likely.</x:v>
      </x:c>
      <x:c r="G10" s="43" t="str">
        <x:v>Relationship records carry the conditions and expected direction of specific influence effects.</x:v>
      </x:c>
      <x:c r="H10" s="43" t="str">
        <x:v>Psychological</x:v>
      </x:c>
    </x:row>
    <x:row r="11" ht="66" customHeight="1">
      <x:c r="A11" s="43" t="str">
        <x:v>CAU-059</x:v>
      </x:c>
      <x:c r="B11" s="43" t="str">
        <x:v>Social identity constructs remain Psychological</x:v>
      </x:c>
      <x:c r="C11" s="43" t="str">
        <x:v>Boundary decision</x:v>
      </x:c>
      <x:c r="D11" s="43" t="str">
        <x:v>Excluded / reclassified</x:v>
      </x:c>
      <x:c r="E11" s="43" t="str"/>
      <x:c r="F11" s="43" t="str">
        <x:v>Identity salience, identification strength, prototypicality, fusion, and politicized identification are internal representations already canonicalized in Layer 2.</x:v>
      </x:c>
      <x:c r="G11" s="43" t="str">
        <x:v>Layer 3 records group structures and interactions that can influence those states without duplicating them.</x:v>
      </x:c>
      <x:c r="H11" s="43" t="str">
        <x:v>Psychological; Cultural</x:v>
      </x:c>
    </x:row>
    <x:row r="12" ht="66" customHeight="1">
      <x:c r="A12" s="43" t="str">
        <x:v>CAU-060</x:v>
      </x:c>
      <x:c r="B12" s="43" t="str">
        <x:v>Inclusion events versus belonging</x:v>
      </x:c>
      <x:c r="C12" s="43" t="str">
        <x:v>Boundary decision</x:v>
      </x:c>
      <x:c r="D12" s="43" t="str">
        <x:v>Retained</x:v>
      </x:c>
      <x:c r="E12" s="43" t="str">
        <x:v>SOC-030; SOC-031</x:v>
      </x:c>
      <x:c r="F12" s="43" t="str">
        <x:v>Observable invitations, acknowledgment, and exclusion are Social; perceived belonging and exclusion remain Psychological.</x:v>
      </x:c>
      <x:c r="G12" s="43" t="str">
        <x:v>Objective and perceived inclusion can diverge and should be measured separately.</x:v>
      </x:c>
      <x:c r="H12" s="43" t="str">
        <x:v>Psychological</x:v>
      </x:c>
    </x:row>
    <x:row r="13" ht="66" customHeight="1">
      <x:c r="A13" s="43" t="str">
        <x:v>CAU-061</x:v>
      </x:c>
      <x:c r="B13" s="43" t="str">
        <x:v>Received support versus perceived support</x:v>
      </x:c>
      <x:c r="C13" s="43" t="str">
        <x:v>Boundary decision</x:v>
      </x:c>
      <x:c r="D13" s="43" t="str">
        <x:v>Retained</x:v>
      </x:c>
      <x:c r="E13" s="43" t="str">
        <x:v>SOC-026; SOC-027; SOC-028; SOC-029</x:v>
      </x:c>
      <x:c r="F13" s="43" t="str">
        <x:v>Available and enacted support are social conditions; perceived support is already represented in Layer 2.</x:v>
      </x:c>
      <x:c r="G13" s="43" t="str">
        <x:v>Support type, source, timing, need match, and receipt must be specified.</x:v>
      </x:c>
      <x:c r="H13" s="43" t="str">
        <x:v>Psychological; Informational</x:v>
      </x:c>
    </x:row>
    <x:row r="14" ht="66" customHeight="1">
      <x:c r="A14" s="43" t="str">
        <x:v>CAU-062</x:v>
      </x:c>
      <x:c r="B14" s="43" t="str">
        <x:v>Objective isolation versus loneliness</x:v>
      </x:c>
      <x:c r="C14" s="43" t="str">
        <x:v>Boundary decision</x:v>
      </x:c>
      <x:c r="D14" s="43" t="str">
        <x:v>Retained</x:v>
      </x:c>
      <x:c r="E14" s="43" t="str">
        <x:v>SOC-032</x:v>
      </x:c>
      <x:c r="F14" s="43" t="str">
        <x:v>Objective scarcity of ties and contact is Social; loneliness is a subjective state and belongs to Psychological.</x:v>
      </x:c>
      <x:c r="G14" s="43" t="str">
        <x:v>Living alone is an indicator or upstream condition, not a sufficient isolation measure.</x:v>
      </x:c>
      <x:c r="H14" s="43" t="str">
        <x:v>Psychological; Physical / Environmental</x:v>
      </x:c>
    </x:row>
    <x:row r="15" ht="66" customHeight="1">
      <x:c r="A15" s="43" t="str">
        <x:v>CAU-063</x:v>
      </x:c>
      <x:c r="B15" s="43" t="str">
        <x:v>Interpersonal trust versus partner reliability</x:v>
      </x:c>
      <x:c r="C15" s="43" t="str">
        <x:v>Boundary decision</x:v>
      </x:c>
      <x:c r="D15" s="43" t="str">
        <x:v>Retained</x:v>
      </x:c>
      <x:c r="E15" s="43" t="str">
        <x:v>SOC-033</x:v>
      </x:c>
      <x:c r="F15" s="43" t="str">
        <x:v>Trust is a perceiver-specific judgment already in Layer 2; fulfilled commitments and dependable conduct are externally observable Social conditions.</x:v>
      </x:c>
      <x:c r="G15" s="43" t="str">
        <x:v>Behavioral reliability can update trust but is not identical to it.</x:v>
      </x:c>
      <x:c r="H15" s="43" t="str">
        <x:v>Psychological</x:v>
      </x:c>
    </x:row>
    <x:row r="16" ht="66" customHeight="1">
      <x:c r="A16" s="43" t="str">
        <x:v>CAU-064</x:v>
      </x:c>
      <x:c r="B16" s="43" t="str">
        <x:v>Fairness appraisals versus treatment and allocation</x:v>
      </x:c>
      <x:c r="C16" s="43" t="str">
        <x:v>Boundary decision</x:v>
      </x:c>
      <x:c r="D16" s="43" t="str">
        <x:v>Excluded / reclassified</x:v>
      </x:c>
      <x:c r="E16" s="43" t="str">
        <x:v>SOC-035; SOC-046</x:v>
      </x:c>
      <x:c r="F16" s="43" t="str">
        <x:v>Perceived fairness belongs to Psychological; observable exchange balance or power asymmetry can be Social, while formal allocation rules belong to Institutional / Structural.</x:v>
      </x:c>
      <x:c r="G16" s="43" t="str">
        <x:v>Do not infer unfairness from inequality without specifying a normative standard.</x:v>
      </x:c>
      <x:c r="H16" s="43" t="str">
        <x:v>Psychological; Institutional / Structural</x:v>
      </x:c>
    </x:row>
    <x:row r="17" ht="66" customHeight="1">
      <x:c r="A17" s="43" t="str">
        <x:v>CAU-065</x:v>
      </x:c>
      <x:c r="B17" s="43" t="str">
        <x:v>Status, power, authority, reputation, and centrality differ</x:v>
      </x:c>
      <x:c r="C17" s="43" t="str">
        <x:v>Scientific caution</x:v>
      </x:c>
      <x:c r="D17" s="43" t="str">
        <x:v>Retained</x:v>
      </x:c>
      <x:c r="E17" s="43" t="str">
        <x:v>SOC-040; SOC-043; SOC-046; SOC-048; SOC-049</x:v>
      </x:c>
      <x:c r="F17" s="43" t="str">
        <x:v>These constructs arise from different relations and imply different measures and intervention implications.</x:v>
      </x:c>
      <x:c r="G17" s="43" t="str">
        <x:v>Never use one as a generic proxy for the others.</x:v>
      </x:c>
      <x:c r="H17" s="43" t="str">
        <x:v>Psychological; Institutional / Structural</x:v>
      </x:c>
    </x:row>
    <x:row r="18" ht="66" customHeight="1">
      <x:c r="A18" s="43" t="str">
        <x:v>CAU-066</x:v>
      </x:c>
      <x:c r="B18" s="43" t="str">
        <x:v>Informal authority versus formal office</x:v>
      </x:c>
      <x:c r="C18" s="43" t="str">
        <x:v>Boundary decision</x:v>
      </x:c>
      <x:c r="D18" s="43" t="str">
        <x:v>Retained</x:v>
      </x:c>
      <x:c r="E18" s="43" t="str">
        <x:v>SOC-048</x:v>
      </x:c>
      <x:c r="F18" s="43" t="str">
        <x:v>Emergent accepted influence is Social; authority created by law, office, or codified hierarchy is Institutional / Structural.</x:v>
      </x:c>
      <x:c r="G18" s="43" t="str">
        <x:v>Obedience is a behavior and legitimacy is a Psychological appraisal unless modeled as a formal institutional property.</x:v>
      </x:c>
      <x:c r="H18" s="43" t="str">
        <x:v>Psychological; Institutional / Structural</x:v>
      </x:c>
    </x:row>
    <x:row r="19" ht="66" customHeight="1">
      <x:c r="A19" s="43" t="str">
        <x:v>CAU-067</x:v>
      </x:c>
      <x:c r="B19" s="43" t="str">
        <x:v>Observability decomposed</x:v>
      </x:c>
      <x:c r="C19" s="43" t="str">
        <x:v>Normalization decision</x:v>
      </x:c>
      <x:c r="D19" s="43" t="str">
        <x:v>Split</x:v>
      </x:c>
      <x:c r="E19" s="43" t="str">
        <x:v>SOC-082; SOC-083; SOC-084; SOC-085; SOC-086; SOC-087</x:v>
      </x:c>
      <x:c r="F19" s="43" t="str">
        <x:v>The legacy label combined multiple social-evaluation conditions with different mechanisms and measurement.</x:v>
      </x:c>
      <x:c r="G19" s="43" t="str">
        <x:v>Technological logging and informational persistence remain external upstream conditions.</x:v>
      </x:c>
      <x:c r="H19" s="43" t="str">
        <x:v>Informational; Technological; Institutional / Structural</x:v>
      </x:c>
    </x:row>
    <x:row r="20" ht="66" customHeight="1">
      <x:c r="A20" s="43" t="str">
        <x:v>CAU-068</x:v>
      </x:c>
      <x:c r="B20" s="43" t="str">
        <x:v>Social comparison directions are mechanisms</x:v>
      </x:c>
      <x:c r="C20" s="43" t="str">
        <x:v>Exclusion rule</x:v>
      </x:c>
      <x:c r="D20" s="43" t="str">
        <x:v>Excluded / reclassified</x:v>
      </x:c>
      <x:c r="E20" s="43" t="str">
        <x:v>SOC-040; SOC-096</x:v>
      </x:c>
      <x:c r="F20" s="43" t="str">
        <x:v>Upward, downward, and lateral comparison describe psychological selection or processing of targets, not external Social variables.</x:v>
      </x:c>
      <x:c r="G20" s="43" t="str">
        <x:v>Model the available reference distribution or objective relative position in Social and the appraisal in Psychological.</x:v>
      </x:c>
      <x:c r="H20" s="43" t="str">
        <x:v>Psychological; Institutional / Structural</x:v>
      </x:c>
    </x:row>
    <x:row r="21" ht="66" customHeight="1">
      <x:c r="A21" s="43" t="str">
        <x:v>CAU-069</x:v>
      </x:c>
      <x:c r="B21" s="43" t="str">
        <x:v>Network metrics can be drivers only with causal semantics</x:v>
      </x:c>
      <x:c r="C21" s="43" t="str">
        <x:v>Inclusion caution</x:v>
      </x:c>
      <x:c r="D21" s="43" t="str">
        <x:v>Retained</x:v>
      </x:c>
      <x:c r="E21" s="43" t="str">
        <x:v>SOC-049; SOC-050; SOC-051; SOC-052; SOC-053; SOC-054; SOC-055</x:v>
      </x:c>
      <x:c r="F21" s="43" t="str">
        <x:v>A graph statistic may be a causal state when it changes access, redundancy, brokerage, or exposure, but it can also be merely descriptive.</x:v>
      </x:c>
      <x:c r="G21" s="43" t="str">
        <x:v>Each application must specify nodes, edges, flow assumptions, level, and hypothesized mechanism.</x:v>
      </x:c>
      <x:c r="H21" s="43" t="str">
        <x:v>Technological</x:v>
      </x:c>
    </x:row>
    <x:row r="22" ht="66" customHeight="1">
      <x:c r="A22" s="43" t="str">
        <x:v>CAU-070</x:v>
      </x:c>
      <x:c r="B22" s="43" t="str">
        <x:v>Homophily is not evidence of influence</x:v>
      </x:c>
      <x:c r="C22" s="43" t="str">
        <x:v>Causal-inference caution</x:v>
      </x:c>
      <x:c r="D22" s="43" t="str">
        <x:v>Retained</x:v>
      </x:c>
      <x:c r="E22" s="43" t="str">
        <x:v>SOC-054; SOC-058</x:v>
      </x:c>
      <x:c r="F22" s="43" t="str">
        <x:v>Similarity among connected actors can result from selection, shared context, or influence, which are generically confounded in observational networks.</x:v>
      </x:c>
      <x:c r="G22" s="43" t="str">
        <x:v>Use randomized, longitudinal, or strong quasi-experimental designs and explicit assumptions for peer-effect claims.</x:v>
      </x:c>
      <x:c r="H22" s="43" t="str">
        <x:v>Psychological; Informational</x:v>
      </x:c>
    </x:row>
    <x:row r="23" ht="66" customHeight="1">
      <x:c r="A23" s="43" t="str">
        <x:v>CAU-071</x:v>
      </x:c>
      <x:c r="B23" s="43" t="str">
        <x:v>Network boundary and missingness</x:v>
      </x:c>
      <x:c r="C23" s="43" t="str">
        <x:v>Measurement caution</x:v>
      </x:c>
      <x:c r="D23" s="43" t="str">
        <x:v>Retained</x:v>
      </x:c>
      <x:c r="E23" s="43" t="str">
        <x:v>SOC-052; SOC-049; SOC-057</x:v>
      </x:c>
      <x:c r="F23" s="43" t="str">
        <x:v>Network measures can change materially with node-set definition, unobserved ties, nonresponse, multiplex relations, direction, and weighting.</x:v>
      </x:c>
      <x:c r="G23" s="43" t="str">
        <x:v>Report the boundary, tie generator, missing-data handling, and sensitivity analyses.</x:v>
      </x:c>
      <x:c r="H23" s="43" t="str">
        <x:v>Technological; Institutional / Structural</x:v>
      </x:c>
    </x:row>
    <x:row r="24" ht="66" customHeight="1">
      <x:c r="A24" s="43" t="str">
        <x:v>CAU-072</x:v>
      </x:c>
      <x:c r="B24" s="43" t="str">
        <x:v>Static networks conceal dynamics</x:v>
      </x:c>
      <x:c r="C24" s="43" t="str">
        <x:v>Measurement caution</x:v>
      </x:c>
      <x:c r="D24" s="43" t="str">
        <x:v>Retained</x:v>
      </x:c>
      <x:c r="E24" s="43" t="str">
        <x:v>SOC-022; SOC-042; SOC-066; SOC-059</x:v>
      </x:c>
      <x:c r="F24" s="43" t="str">
        <x:v>Aggregating across long windows can combine ties or exposures that did not coexist and obscure formation, dissolution, and temporal ordering.</x:v>
      </x:c>
      <x:c r="G24" s="43" t="str">
        <x:v>Use time-resolved data when causal lag, sequence, or diffusion matters.</x:v>
      </x:c>
      <x:c r="H24" s="43" t="str">
        <x:v>Technological</x:v>
      </x:c>
    </x:row>
    <x:row r="25" ht="66" customHeight="1">
      <x:c r="A25" s="43" t="str">
        <x:v>CAU-073</x:v>
      </x:c>
      <x:c r="B25" s="43" t="str">
        <x:v>Centrality measures are not interchangeable</x:v>
      </x:c>
      <x:c r="C25" s="43" t="str">
        <x:v>Measurement caution</x:v>
      </x:c>
      <x:c r="D25" s="43" t="str">
        <x:v>Retained</x:v>
      </x:c>
      <x:c r="E25" s="43" t="str">
        <x:v>SOC-049; SOC-050; SOC-051</x:v>
      </x:c>
      <x:c r="F25" s="43" t="str">
        <x:v>Degree captures direct ties, betweenness potential brokerage, and eigenvector connection to central others; each assumes different flow or influence processes.</x:v>
      </x:c>
      <x:c r="G25" s="43" t="str">
        <x:v>Select the measure from mechanism, not from whichever predicts best in one dataset.</x:v>
      </x:c>
      <x:c r="H25" s="43" t="str"/>
    </x:row>
    <x:row r="26" ht="66" customHeight="1">
      <x:c r="A26" s="43" t="str">
        <x:v>CAU-074</x:v>
      </x:c>
      <x:c r="B26" s="43" t="str">
        <x:v>Exposure is not influence or adoption</x:v>
      </x:c>
      <x:c r="C26" s="43" t="str">
        <x:v>Causal-inference caution</x:v>
      </x:c>
      <x:c r="D26" s="43" t="str">
        <x:v>Retained</x:v>
      </x:c>
      <x:c r="E26" s="43" t="str">
        <x:v>SOC-058; SOC-059; SOC-060; SOC-061</x:v>
      </x:c>
      <x:c r="F26" s="43" t="str">
        <x:v>Exposure describes opportunity to encounter a social signal; attention, psychological processing, and behavior remain separate.</x:v>
      </x:c>
      <x:c r="G26" s="43" t="str">
        <x:v>Do not label correlated adoption as contagion without design-based identification.</x:v>
      </x:c>
      <x:c r="H26" s="43" t="str">
        <x:v>Psychological; Informational; Technological</x:v>
      </x:c>
    </x:row>
    <x:row r="27" ht="66" customHeight="1">
      <x:c r="A27" s="43" t="str">
        <x:v>CAU-075</x:v>
      </x:c>
      <x:c r="B27" s="43" t="str">
        <x:v>Cohesion is not group performance</x:v>
      </x:c>
      <x:c r="C27" s="43" t="str">
        <x:v>Scientific caution</x:v>
      </x:c>
      <x:c r="D27" s="43" t="str">
        <x:v>Retained</x:v>
      </x:c>
      <x:c r="E27" s="43" t="str">
        <x:v>SOC-065</x:v>
      </x:c>
      <x:c r="F27" s="43" t="str">
        <x:v>Cohesion is an emergent group state; performance is an outcome and their relationship varies by task, referent, measurement, and interdependence.</x:v>
      </x:c>
      <x:c r="G27" s="43" t="str">
        <x:v>Separate task cohesion, social cohesion, group pride, and behavioral indicators where precision matters.</x:v>
      </x:c>
      <x:c r="H27" s="43" t="str">
        <x:v>Institutional / Structural</x:v>
      </x:c>
    </x:row>
    <x:row r="28" ht="66" customHeight="1">
      <x:c r="A28" s="43" t="str">
        <x:v>CAU-076</x:v>
      </x:c>
      <x:c r="B28" s="43" t="str">
        <x:v>Group polarization and social loafing are outcomes</x:v>
      </x:c>
      <x:c r="C28" s="43" t="str">
        <x:v>Exclusion rule</x:v>
      </x:c>
      <x:c r="D28" s="43" t="str">
        <x:v>Excluded / reclassified</x:v>
      </x:c>
      <x:c r="E28" s="43" t="str">
        <x:v>SOC-068; SOC-069; SOC-079; SOC-039</x:v>
      </x:c>
      <x:c r="F28" s="43" t="str">
        <x:v>Polarization and loafing describe group or individual behavioral patterns rather than reusable causal conditions at the preferred abstraction level.</x:v>
      </x:c>
      <x:c r="G28" s="43" t="str">
        <x:v>Preserve their antecedent conditions and represent the outcomes in a causal model when relevant.</x:v>
      </x:c>
      <x:c r="H28" s="43" t="str">
        <x:v>Psychological</x:v>
      </x:c>
    </x:row>
    <x:row r="29" ht="66" customHeight="1">
      <x:c r="A29" s="43" t="str">
        <x:v>CAU-077</x:v>
      </x:c>
      <x:c r="B29" s="43" t="str">
        <x:v>Collective efficacy requires referent-shift and agreement</x:v>
      </x:c>
      <x:c r="C29" s="43" t="str">
        <x:v>Measurement caution</x:v>
      </x:c>
      <x:c r="D29" s="43" t="str">
        <x:v>Retained</x:v>
      </x:c>
      <x:c r="E29" s="43" t="str">
        <x:v>SOC-077</x:v>
      </x:c>
      <x:c r="F29" s="43" t="str">
        <x:v>Collective efficacy is a shared group-referent belief, not the sum of individual self-efficacy and not objective capability.</x:v>
      </x:c>
      <x:c r="G29" s="43" t="str">
        <x:v>Justify aggregation with within-group agreement and report the specified collective task.</x:v>
      </x:c>
      <x:c r="H29" s="43" t="str">
        <x:v>Psychological</x:v>
      </x:c>
    </x:row>
    <x:row r="30" ht="66" customHeight="1">
      <x:c r="A30" s="43" t="str">
        <x:v>CAU-078</x:v>
      </x:c>
      <x:c r="B30" s="43" t="str">
        <x:v>Common knowledge differs from shared information</x:v>
      </x:c>
      <x:c r="C30" s="43" t="str">
        <x:v>Scientific caution</x:v>
      </x:c>
      <x:c r="D30" s="43" t="str">
        <x:v>Retained</x:v>
      </x:c>
      <x:c r="E30" s="43" t="str">
        <x:v>SOC-075; SOC-071; SOC-076</x:v>
      </x:c>
      <x:c r="F30" s="43" t="str">
        <x:v>Information can be known by all without actors mutually recognizing that all know it; common knowledge has recursive, public properties relevant to coordination.</x:v>
      </x:c>
      <x:c r="G30" s="43" t="str">
        <x:v>Operationalize publicness and mutual recognition rather than inferring common knowledge from message receipt.</x:v>
      </x:c>
      <x:c r="H30" s="43" t="str">
        <x:v>Psychological; Informational</x:v>
      </x:c>
    </x:row>
    <x:row r="31" ht="66" customHeight="1">
      <x:c r="A31" s="43" t="str">
        <x:v>CAU-079</x:v>
      </x:c>
      <x:c r="B31" s="43" t="str">
        <x:v>Audience effects are task dependent</x:v>
      </x:c>
      <x:c r="C31" s="43" t="str">
        <x:v>Scientific caution</x:v>
      </x:c>
      <x:c r="D31" s="43" t="str">
        <x:v>Retained</x:v>
      </x:c>
      <x:c r="E31" s="43" t="str">
        <x:v>SOC-082; SOC-083; SOC-086</x:v>
      </x:c>
      <x:c r="F31" s="43" t="str">
        <x:v>Presence of others can facilitate dominant or simple responses and impair difficult or novel performance; evaluation and responsibility effects also vary.</x:v>
      </x:c>
      <x:c r="G31" s="43" t="str">
        <x:v>Task complexity, expertise, relationship, danger, and accountability ground rules are central moderators.</x:v>
      </x:c>
      <x:c r="H31" s="43" t="str">
        <x:v>Psychological</x:v>
      </x:c>
    </x:row>
    <x:row r="32" ht="66" customHeight="1">
      <x:c r="A32" s="43" t="str">
        <x:v>CAU-080</x:v>
      </x:c>
      <x:c r="B32" s="43" t="str">
        <x:v>Threat and anxiety are Psychological appraisals</x:v>
      </x:c>
      <x:c r="C32" s="43" t="str">
        <x:v>Boundary decision</x:v>
      </x:c>
      <x:c r="D32" s="43" t="str">
        <x:v>Excluded / reclassified</x:v>
      </x:c>
      <x:c r="E32" s="43" t="str">
        <x:v>SOC-092; SOC-093; SOC-096</x:v>
      </x:c>
      <x:c r="F32" s="43" t="str">
        <x:v>Realistic threat, symbolic threat, and intergroup anxiety are internal appraisals or affective states; Layer 3 retains external rivalry, dependence, inequality, contact, and boundaries.</x:v>
      </x:c>
      <x:c r="G32" s="43" t="str">
        <x:v>Cultural narratives and material institutional arrangements should be linked in their native layers.</x:v>
      </x:c>
      <x:c r="H32" s="43" t="str">
        <x:v>Psychological; Cultural; Institutional / Structural</x:v>
      </x:c>
    </x:row>
    <x:row r="33" ht="66" customHeight="1">
      <x:c r="A33" s="43" t="str">
        <x:v>CAU-081</x:v>
      </x:c>
      <x:c r="B33" s="43" t="str">
        <x:v>Contact amount, quality, friendship, and selection</x:v>
      </x:c>
      <x:c r="C33" s="43" t="str">
        <x:v>Causal-inference caution</x:v>
      </x:c>
      <x:c r="D33" s="43" t="str">
        <x:v>Retained</x:v>
      </x:c>
      <x:c r="E33" s="43" t="str">
        <x:v>SOC-088; SOC-089; SOC-090</x:v>
      </x:c>
      <x:c r="F33" s="43" t="str">
        <x:v>Contact forms are distinct, and people select into contact; negative contact can worsen relations and positive effects may not generalize.</x:v>
      </x:c>
      <x:c r="G33" s="43" t="str">
        <x:v>Use longitudinal or experimental evidence, measure contact valence and equality, and state the target of generalization.</x:v>
      </x:c>
      <x:c r="H33" s="43" t="str">
        <x:v>Psychological; Institutional / Structural</x:v>
      </x:c>
    </x:row>
    <x:row r="34" ht="66" customHeight="1">
      <x:c r="A34" s="43" t="str">
        <x:v>CAU-082</x:v>
      </x:c>
      <x:c r="B34" s="43" t="str">
        <x:v>Intergroup inequality versus institutional inequality</x:v>
      </x:c>
      <x:c r="C34" s="43" t="str">
        <x:v>Cross-layer harmonization flag</x:v>
      </x:c>
      <x:c r="D34" s="43" t="str">
        <x:v>Cross-layer review</x:v>
      </x:c>
      <x:c r="E34" s="43" t="str">
        <x:v>SOC-096</x:v>
      </x:c>
      <x:c r="F34" s="43" t="str">
        <x:v>Social status and deference gaps are relational; legal rights, income distributions, policy, and durable resource allocation structures may be Institutional / Structural.</x:v>
      </x:c>
      <x:c r="G34" s="43" t="str">
        <x:v>Ontology-wide review should confirm the primary layer for each operationalization rather than duplicate the driver.</x:v>
      </x:c>
      <x:c r="H34" s="43" t="str">
        <x:v>Institutional / Structural</x:v>
      </x:c>
    </x:row>
    <x:row r="35" ht="66" customHeight="1">
      <x:c r="A35" s="43" t="str">
        <x:v>MIG-162</x:v>
      </x:c>
      <x:c r="B35" s="43" t="str">
        <x:v>Descriptive norms</x:v>
      </x:c>
      <x:c r="C35" s="43" t="str">
        <x:v>Legacy migration decision</x:v>
      </x:c>
      <x:c r="D35" s="43" t="str">
        <x:v>Renamed / normalized</x:v>
      </x:c>
      <x:c r="E35" s="43" t="str">
        <x:v>SOC-001</x:v>
      </x:c>
      <x:c r="F35" s="43" t="str">
        <x:v>Recast from an individual's perception to the measured prevalence of behavior in a specified reference group.</x:v>
      </x:c>
      <x:c r="G35" s="43" t="str">
        <x:v>Legacy record SOC-NORM-01; family Social Norms &amp; Norm Perception; evidence R001 (SRC208); R002 (SRC209); R003 (SRC210); legacy secondary layers Informational; Cultural. Original definition: Perceptions of what most relevant others actually do in a situation.</x:v>
      </x:c>
      <x:c r="H35" s="43" t="str">
        <x:v>Psychological; Cultural</x:v>
      </x:c>
    </x:row>
    <x:row r="36" ht="66" customHeight="1">
      <x:c r="A36" s="43" t="str">
        <x:v>MIG-163</x:v>
      </x:c>
      <x:c r="B36" s="43" t="str">
        <x:v>Injunctive norms</x:v>
      </x:c>
      <x:c r="C36" s="43" t="str">
        <x:v>Legacy migration decision</x:v>
      </x:c>
      <x:c r="D36" s="43" t="str">
        <x:v>Renamed / normalized</x:v>
      </x:c>
      <x:c r="E36" s="43" t="str">
        <x:v>SOC-002</x:v>
      </x:c>
      <x:c r="F36" s="43" t="str">
        <x:v>Recast from perceived approval to the group's publicly expressed approval distribution.</x:v>
      </x:c>
      <x:c r="G36" s="43" t="str">
        <x:v>Legacy record SOC-NORM-02; family Social Norms &amp; Norm Perception; evidence R001 (SRC208); R002 (SRC209); legacy secondary layers Cultural; Institutional. Original definition: Perceptions of what relevant others approve, disapprove, expect, or believe ought to be done.</x:v>
      </x:c>
      <x:c r="H36" s="43" t="str">
        <x:v>Psychological; Cultural; Institutional / Structural</x:v>
      </x:c>
    </x:row>
    <x:row r="37" ht="66" customHeight="1">
      <x:c r="A37" s="43" t="str">
        <x:v>MIG-164</x:v>
      </x:c>
      <x:c r="B37" s="43" t="str">
        <x:v>Dynamic norms</x:v>
      </x:c>
      <x:c r="C37" s="43" t="str">
        <x:v>Legacy migration decision</x:v>
      </x:c>
      <x:c r="D37" s="43" t="str">
        <x:v>Renamed / normalized</x:v>
      </x:c>
      <x:c r="E37" s="43" t="str">
        <x:v>SOC-004</x:v>
      </x:c>
      <x:c r="F37" s="43" t="str">
        <x:v>Represented as the measured direction and rate of change in prevalence or approval.</x:v>
      </x:c>
      <x:c r="G37" s="43" t="str">
        <x:v>Legacy record SOC-NORM-03; family Social Norms &amp; Norm Perception; evidence R004 (SRC211); legacy secondary layers Informational; Technological. Original definition: Perceptions that the behavior or attitudes of others are changing over time.</x:v>
      </x:c>
      <x:c r="H37" s="43" t="str">
        <x:v>Psychological; Informational; Technological</x:v>
      </x:c>
    </x:row>
    <x:row r="38" ht="66" customHeight="1">
      <x:c r="A38" s="43" t="str">
        <x:v>MIG-165</x:v>
      </x:c>
      <x:c r="B38" s="43" t="str">
        <x:v>Pluralistic ignorance / normative misperception</x:v>
      </x:c>
      <x:c r="C38" s="43" t="str">
        <x:v>Legacy migration decision</x:v>
      </x:c>
      <x:c r="D38" s="43" t="str">
        <x:v>Excluded / reclassified</x:v>
      </x:c>
      <x:c r="E38" s="43" t="str"/>
      <x:c r="F38" s="43" t="str">
        <x:v>A derived discrepancy among private attitudes, perceived norms, and actual group conditions rather than one atomic Social driver.</x:v>
      </x:c>
      <x:c r="G38" s="43" t="str">
        <x:v>Legacy record SOC-NORM-04; family Social Norms &amp; Norm Perception; evidence R005 (SRC212); legacy secondary layers Psychological; Informational. Original definition: A condition in which people systematically misperceive the private attitudes or preferences of others, often believing a norm has more support than it does.</x:v>
      </x:c>
      <x:c r="H38" s="43" t="str">
        <x:v>Psychological; Informational</x:v>
      </x:c>
    </x:row>
    <x:row r="39" ht="66" customHeight="1">
      <x:c r="A39" s="43" t="str">
        <x:v>MIG-166</x:v>
      </x:c>
      <x:c r="B39" s="43" t="str">
        <x:v>Norm enforcement / social sanctions</x:v>
      </x:c>
      <x:c r="C39" s="43" t="str">
        <x:v>Legacy migration decision</x:v>
      </x:c>
      <x:c r="D39" s="43" t="str">
        <x:v>Split</x:v>
      </x:c>
      <x:c r="E39" s="43" t="str">
        <x:v>SOC-006; SOC-007</x:v>
      </x:c>
      <x:c r="F39" s="43" t="str">
        <x:v>Separated the likelihood of informal enforcement from the magnitude of the sanction.</x:v>
      </x:c>
      <x:c r="G39" s="43" t="str">
        <x:v>Legacy record SOC-NORM-05; family Social Norms &amp; Norm Perception; evidence R018 (SRC225); R019 (SRC226); legacy secondary layers Institutional; Cultural. Original definition: Social rewards or punishments applied by others in response to norm-conforming or norm-violating behavior.</x:v>
      </x:c>
      <x:c r="H39" s="43" t="str">
        <x:v>Institutional / Structural</x:v>
      </x:c>
    </x:row>
    <x:row r="40" ht="66" customHeight="1">
      <x:c r="A40" s="43" t="str">
        <x:v>MIG-167</x:v>
      </x:c>
      <x:c r="B40" s="43" t="str">
        <x:v>Majority conformity</x:v>
      </x:c>
      <x:c r="C40" s="43" t="str">
        <x:v>Legacy migration decision</x:v>
      </x:c>
      <x:c r="D40" s="43" t="str">
        <x:v>Split</x:v>
      </x:c>
      <x:c r="E40" s="43" t="str">
        <x:v>SOC-009; SOC-010</x:v>
      </x:c>
      <x:c r="F40" s="43" t="str">
        <x:v>Conformity is a response; retained variable properties of the observable majority signal.</x:v>
      </x:c>
      <x:c r="G40" s="43" t="str">
        <x:v>Legacy record SOC-INFL-01; family Conformity &amp; Direct Social Influence; evidence R006 (SRC213); legacy secondary layers Psychological; Cultural. Original definition: Adjustment of judgments or behavior toward the position adopted by a numerical or salient majority.</x:v>
      </x:c>
      <x:c r="H40" s="43" t="str"/>
    </x:row>
    <x:row r="41" ht="66" customHeight="1">
      <x:c r="A41" s="43" t="str">
        <x:v>MIG-168</x:v>
      </x:c>
      <x:c r="B41" s="43" t="str">
        <x:v>Informational social influence</x:v>
      </x:c>
      <x:c r="C41" s="43" t="str">
        <x:v>Legacy migration decision</x:v>
      </x:c>
      <x:c r="D41" s="43" t="str">
        <x:v>Excluded / reclassified</x:v>
      </x:c>
      <x:c r="E41" s="43" t="str">
        <x:v>SOC-009; SOC-013</x:v>
      </x:c>
      <x:c r="F41" s="43" t="str">
        <x:v>Informational influence is a mechanism; observable social-evidence conditions remain as drivers.</x:v>
      </x:c>
      <x:c r="G41" s="43" t="str">
        <x:v>Legacy record SOC-INFL-02; family Conformity &amp; Direct Social Influence; evidence R006 (SRC213); R007 (SRC214); legacy secondary layers Psychological; Informational. Original definition: Influence arising because other people are treated as evidence about reality, especially under uncertainty.</x:v>
      </x:c>
      <x:c r="H41" s="43" t="str">
        <x:v>Psychological; Informational</x:v>
      </x:c>
    </x:row>
    <x:row r="42" ht="66" customHeight="1">
      <x:c r="A42" s="43" t="str">
        <x:v>MIG-169</x:v>
      </x:c>
      <x:c r="B42" s="43" t="str">
        <x:v>Normative social influence</x:v>
      </x:c>
      <x:c r="C42" s="43" t="str">
        <x:v>Legacy migration decision</x:v>
      </x:c>
      <x:c r="D42" s="43" t="str">
        <x:v>Excluded / reclassified</x:v>
      </x:c>
      <x:c r="E42" s="43" t="str">
        <x:v>SOC-002; SOC-006</x:v>
      </x:c>
      <x:c r="F42" s="43" t="str">
        <x:v>Normative influence is a mechanism; approval and enforcement conditions remain as Social drivers.</x:v>
      </x:c>
      <x:c r="G42" s="43" t="str">
        <x:v>Legacy record SOC-INFL-03; family Conformity &amp; Direct Social Influence; evidence R006 (SRC213); R007 (SRC214); legacy secondary layers Psychological. Original definition: Influence arising from the desire to gain approval, avoid rejection, or maintain social standing with relevant others.</x:v>
      </x:c>
      <x:c r="H42" s="43" t="str">
        <x:v>Psychological</x:v>
      </x:c>
    </x:row>
    <x:row r="43" ht="66" customHeight="1">
      <x:c r="A43" s="43" t="str">
        <x:v>MIG-170</x:v>
      </x:c>
      <x:c r="B43" s="43" t="str">
        <x:v>Minority influence</x:v>
      </x:c>
      <x:c r="C43" s="43" t="str">
        <x:v>Legacy migration decision</x:v>
      </x:c>
      <x:c r="D43" s="43" t="str">
        <x:v>Renamed / normalized</x:v>
      </x:c>
      <x:c r="E43" s="43" t="str">
        <x:v>SOC-011</x:v>
      </x:c>
      <x:c r="F43" s="43" t="str">
        <x:v>Influence is an outcome or mechanism; the consistent minority signal is the varying Social condition.</x:v>
      </x:c>
      <x:c r="G43" s="43" t="str">
        <x:v>Legacy record SOC-INFL-04; family Conformity &amp; Direct Social Influence; evidence R007 (SRC214); legacy secondary layers Informational; Psychological. Original definition: Influence exerted by a consistent numerical or opinion minority on majority members.</x:v>
      </x:c>
      <x:c r="H43" s="43" t="str"/>
    </x:row>
    <x:row r="44" ht="66" customHeight="1">
      <x:c r="A44" s="43" t="str">
        <x:v>MIG-171</x:v>
      </x:c>
      <x:c r="B44" s="43" t="str">
        <x:v>Peer presence / peer influence</x:v>
      </x:c>
      <x:c r="C44" s="43" t="str">
        <x:v>Legacy migration decision</x:v>
      </x:c>
      <x:c r="D44" s="43" t="str">
        <x:v>Split</x:v>
      </x:c>
      <x:c r="E44" s="43" t="str">
        <x:v>SOC-012; SOC-013</x:v>
      </x:c>
      <x:c r="F44" s="43" t="str">
        <x:v>Separated co-presence from actual exposure; peer influence itself remains relational evidence rather than a driver label.</x:v>
      </x:c>
      <x:c r="G44" s="43" t="str">
        <x:v>Legacy record SOC-INFL-05; family Conformity &amp; Direct Social Influence; evidence R008 (SRC215); legacy secondary layers Psychological; Technological. Original definition: Behavioral change caused by the presence, behavior, or expectations of peers.</x:v>
      </x:c>
      <x:c r="H44" s="43" t="str"/>
    </x:row>
    <x:row r="45" ht="66" customHeight="1">
      <x:c r="A45" s="43" t="str">
        <x:v>MIG-172</x:v>
      </x:c>
      <x:c r="B45" s="43" t="str">
        <x:v>Social identity salience</x:v>
      </x:c>
      <x:c r="C45" s="43" t="str">
        <x:v>Legacy migration decision</x:v>
      </x:c>
      <x:c r="D45" s="43" t="str">
        <x:v>Excluded / reclassified</x:v>
      </x:c>
      <x:c r="E45" s="43" t="str"/>
      <x:c r="F45" s="43" t="str">
        <x:v>Already represented as Identity Salience in Psychological Layer 2.</x:v>
      </x:c>
      <x:c r="G45" s="43" t="str">
        <x:v>Legacy record SOC-ID-01; family Social Identity &amp; Group Alignment; evidence R009 (SRC216); legacy secondary layers Psychological; Cultural. Original definition: The degree to which a particular group membership is psychologically active and relevant in a situation.</x:v>
      </x:c>
      <x:c r="H45" s="43" t="str">
        <x:v>Psychological; Cultural</x:v>
      </x:c>
    </x:row>
    <x:row r="46" ht="66" customHeight="1">
      <x:c r="A46" s="43" t="str">
        <x:v>MIG-173</x:v>
      </x:c>
      <x:c r="B46" s="43" t="str">
        <x:v>Self-categorization / group prototypicality</x:v>
      </x:c>
      <x:c r="C46" s="43" t="str">
        <x:v>Legacy migration decision</x:v>
      </x:c>
      <x:c r="D46" s="43" t="str">
        <x:v>Excluded / reclassified</x:v>
      </x:c>
      <x:c r="E46" s="43" t="str"/>
      <x:c r="F46" s="43" t="str">
        <x:v>Internal self-categorization and perceived prototypicality are Psychological representations.</x:v>
      </x:c>
      <x:c r="G46" s="43" t="str">
        <x:v>Legacy record SOC-ID-02; family Social Identity &amp; Group Alignment; evidence R009 (SRC216); legacy secondary layers Psychological. Original definition: Categorizing the self and others as members of a group and orienting behavior toward perceived group prototypes.</x:v>
      </x:c>
      <x:c r="H46" s="43" t="str">
        <x:v>Psychological</x:v>
      </x:c>
    </x:row>
    <x:row r="47" ht="66" customHeight="1">
      <x:c r="A47" s="43" t="str">
        <x:v>MIG-174</x:v>
      </x:c>
      <x:c r="B47" s="43" t="str">
        <x:v>In-group favoritism</x:v>
      </x:c>
      <x:c r="C47" s="43" t="str">
        <x:v>Legacy migration decision</x:v>
      </x:c>
      <x:c r="D47" s="43" t="str">
        <x:v>Excluded / reclassified</x:v>
      </x:c>
      <x:c r="E47" s="43" t="str"/>
      <x:c r="F47" s="43" t="str">
        <x:v>A behavioral or evaluative bias outcome rather than an atomic Social condition.</x:v>
      </x:c>
      <x:c r="G47" s="43" t="str">
        <x:v>Legacy record SOC-ID-03; family Social Identity &amp; Group Alignment; evidence R009 (SRC216); legacy secondary layers Psychological; Cultural. Original definition: Preferential evaluation, allocation, trust, or behavior toward members of one's own salient group.</x:v>
      </x:c>
      <x:c r="H47" s="43" t="str">
        <x:v>Psychological</x:v>
      </x:c>
    </x:row>
    <x:row r="48" ht="66" customHeight="1">
      <x:c r="A48" s="43" t="str">
        <x:v>MIG-175</x:v>
      </x:c>
      <x:c r="B48" s="43" t="str">
        <x:v>Identity fusion</x:v>
      </x:c>
      <x:c r="C48" s="43" t="str">
        <x:v>Legacy migration decision</x:v>
      </x:c>
      <x:c r="D48" s="43" t="str">
        <x:v>Excluded / reclassified</x:v>
      </x:c>
      <x:c r="E48" s="43" t="str"/>
      <x:c r="F48" s="43" t="str">
        <x:v>Already represented as Identity Fusion in Psychological Layer 2.</x:v>
      </x:c>
      <x:c r="G48" s="43" t="str">
        <x:v>Legacy record SOC-ID-04; family Social Identity &amp; Group Alignment; evidence R010 (SRC217); legacy secondary layers Psychological; Cultural. Original definition: A visceral sense of oneness in which personal and group identities remain distinct but functionally aligned.</x:v>
      </x:c>
      <x:c r="H48" s="43" t="str">
        <x:v>Psychological</x:v>
      </x:c>
    </x:row>
    <x:row r="49" ht="66" customHeight="1">
      <x:c r="A49" s="43" t="str">
        <x:v>MIG-176</x:v>
      </x:c>
      <x:c r="B49" s="43" t="str">
        <x:v>Politicized / action-oriented group identification</x:v>
      </x:c>
      <x:c r="C49" s="43" t="str">
        <x:v>Legacy migration decision</x:v>
      </x:c>
      <x:c r="D49" s="43" t="str">
        <x:v>Excluded / reclassified</x:v>
      </x:c>
      <x:c r="E49" s="43" t="str"/>
      <x:c r="F49" s="43" t="str">
        <x:v>A psychological identity and motivation state; external group mobilization conditions are modeled separately.</x:v>
      </x:c>
      <x:c r="G49" s="43" t="str">
        <x:v>Legacy record SOC-ID-05; family Social Identity &amp; Group Alignment; evidence R011 (SRC218); legacy secondary layers Psychological; Cultural. Original definition: Identification with a group whose identity includes shared grievance, goals, or a mandate for collective action.</x:v>
      </x:c>
      <x:c r="H49" s="43" t="str">
        <x:v>Psychological</x:v>
      </x:c>
    </x:row>
    <x:row r="50" ht="66" customHeight="1">
      <x:c r="A50" s="43" t="str">
        <x:v>MIG-177</x:v>
      </x:c>
      <x:c r="B50" s="43" t="str">
        <x:v>Need to belong / belongingness</x:v>
      </x:c>
      <x:c r="C50" s="43" t="str">
        <x:v>Legacy migration decision</x:v>
      </x:c>
      <x:c r="D50" s="43" t="str">
        <x:v>Excluded / reclassified</x:v>
      </x:c>
      <x:c r="E50" s="43" t="str"/>
      <x:c r="F50" s="43" t="str">
        <x:v>A Psychological need or motive rather than an external Social condition.</x:v>
      </x:c>
      <x:c r="G50" s="43" t="str">
        <x:v>Legacy record SOC-BEL-01; family Belonging, Inclusion &amp; Relational Security; evidence R012 (SRC219); legacy secondary layers Psychological; Biological. Original definition: A pervasive motivation to form and maintain stable, positive, significant interpersonal relationships.</x:v>
      </x:c>
      <x:c r="H50" s="43" t="str">
        <x:v>Psychological</x:v>
      </x:c>
    </x:row>
    <x:row r="51" ht="66" customHeight="1">
      <x:c r="A51" s="43" t="str">
        <x:v>MIG-178</x:v>
      </x:c>
      <x:c r="B51" s="43" t="str">
        <x:v>Social acceptance / inclusion</x:v>
      </x:c>
      <x:c r="C51" s="43" t="str">
        <x:v>Legacy migration decision</x:v>
      </x:c>
      <x:c r="D51" s="43" t="str">
        <x:v>Renamed / normalized</x:v>
      </x:c>
      <x:c r="E51" s="43" t="str">
        <x:v>SOC-030</x:v>
      </x:c>
      <x:c r="F51" s="43" t="str">
        <x:v>Canonicalized as observable inclusion and acknowledgment events rather than perceived acceptance.</x:v>
      </x:c>
      <x:c r="G51" s="43" t="str">
        <x:v>Legacy record SOC-BEL-02; family Belonging, Inclusion &amp; Relational Security; evidence R013 (SRC220); R014 (SRC221); legacy secondary layers Psychological. Original definition: Actual or perceived acceptance and inclusion by valued individuals or groups.</x:v>
      </x:c>
      <x:c r="H51" s="43" t="str">
        <x:v>Psychological</x:v>
      </x:c>
    </x:row>
    <x:row r="52" ht="66" customHeight="1">
      <x:c r="A52" s="43" t="str">
        <x:v>MIG-179</x:v>
      </x:c>
      <x:c r="B52" s="43" t="str">
        <x:v>Ostracism / social exclusion</x:v>
      </x:c>
      <x:c r="C52" s="43" t="str">
        <x:v>Legacy migration decision</x:v>
      </x:c>
      <x:c r="D52" s="43" t="str">
        <x:v>Renamed / normalized</x:v>
      </x:c>
      <x:c r="E52" s="43" t="str">
        <x:v>SOC-031</x:v>
      </x:c>
      <x:c r="F52" s="43" t="str">
        <x:v>Canonicalized as frequency or duration of externally observable exclusion episodes.</x:v>
      </x:c>
      <x:c r="G52" s="43" t="str">
        <x:v>Legacy record SOC-BEL-03; family Belonging, Inclusion &amp; Relational Security; evidence R013 (SRC220); R014 (SRC221); legacy secondary layers Psychological; Biological. Original definition: Being ignored, excluded, rejected, or denied meaningful social participation.</x:v>
      </x:c>
      <x:c r="H52" s="43" t="str">
        <x:v>Psychological</x:v>
      </x:c>
    </x:row>
    <x:row r="53" ht="66" customHeight="1">
      <x:c r="A53" s="43" t="str">
        <x:v>MIG-180</x:v>
      </x:c>
      <x:c r="B53" s="43" t="str">
        <x:v>Social support</x:v>
      </x:c>
      <x:c r="C53" s="43" t="str">
        <x:v>Legacy migration decision</x:v>
      </x:c>
      <x:c r="D53" s="43" t="str">
        <x:v>Split</x:v>
      </x:c>
      <x:c r="E53" s="43" t="str">
        <x:v>SOC-026; SOC-027; SOC-028; SOC-029</x:v>
      </x:c>
      <x:c r="F53" s="43" t="str">
        <x:v>Separated available and enacted support and distinguished functional support types.</x:v>
      </x:c>
      <x:c r="G53" s="43" t="str">
        <x:v>Legacy record SOC-BEL-04; family Belonging, Inclusion &amp; Relational Security; evidence R015 (SRC222); legacy secondary layers Biological; Psychological. Original definition: Emotional, instrumental, informational, or companionship resources provided through social relationships.</x:v>
      </x:c>
      <x:c r="H53" s="43" t="str">
        <x:v>Psychological; Informational</x:v>
      </x:c>
    </x:row>
    <x:row r="54" ht="66" customHeight="1">
      <x:c r="A54" s="43" t="str">
        <x:v>MIG-181</x:v>
      </x:c>
      <x:c r="B54" s="43" t="str">
        <x:v>Social isolation / loneliness</x:v>
      </x:c>
      <x:c r="C54" s="43" t="str">
        <x:v>Legacy migration decision</x:v>
      </x:c>
      <x:c r="D54" s="43" t="str">
        <x:v>Split</x:v>
      </x:c>
      <x:c r="E54" s="43" t="str">
        <x:v>SOC-032</x:v>
      </x:c>
      <x:c r="F54" s="43" t="str">
        <x:v>Retained objective isolation in Social; loneliness remains a Psychological subjective state.</x:v>
      </x:c>
      <x:c r="G54" s="43" t="str">
        <x:v>Legacy record SOC-BEL-05; family Belonging, Inclusion &amp; Relational Security; evidence R015 (SRC222); legacy secondary layers Psychological; Biological. Original definition: Low objective social connection (isolation) or perceived deficiency in desired social connection (loneliness).</x:v>
      </x:c>
      <x:c r="H54" s="43" t="str">
        <x:v>Psychological; Physical / Environmental</x:v>
      </x:c>
    </x:row>
    <x:row r="55" ht="66" customHeight="1">
      <x:c r="A55" s="43" t="str">
        <x:v>MIG-182</x:v>
      </x:c>
      <x:c r="B55" s="43" t="str">
        <x:v>Interpersonal trust</x:v>
      </x:c>
      <x:c r="C55" s="43" t="str">
        <x:v>Legacy migration decision</x:v>
      </x:c>
      <x:c r="D55" s="43" t="str">
        <x:v>Excluded / reclassified</x:v>
      </x:c>
      <x:c r="E55" s="43" t="str">
        <x:v>SOC-033</x:v>
      </x:c>
      <x:c r="F55" s="43" t="str">
        <x:v>Trust remains Psychological; fulfilled commitments provide the external Social counterpart.</x:v>
      </x:c>
      <x:c r="G55" s="43" t="str">
        <x:v>Legacy record SOC-COOP-01; family Trust, Reciprocity &amp; Cooperation; evidence R016 (SRC223); R041 (SRC248); legacy secondary layers Psychological; Institutional. Original definition: Willingness to accept vulnerability based on positive expectations about another person's intentions or behavior.</x:v>
      </x:c>
      <x:c r="H55" s="43" t="str">
        <x:v>Psychological</x:v>
      </x:c>
    </x:row>
    <x:row r="56" ht="66" customHeight="1">
      <x:c r="A56" s="43" t="str">
        <x:v>MIG-183</x:v>
      </x:c>
      <x:c r="B56" s="43" t="str">
        <x:v>Reciprocity</x:v>
      </x:c>
      <x:c r="C56" s="43" t="str">
        <x:v>Legacy migration decision</x:v>
      </x:c>
      <x:c r="D56" s="43" t="str">
        <x:v>Split</x:v>
      </x:c>
      <x:c r="E56" s="43" t="str">
        <x:v>SOC-035; SOC-037; SOC-020</x:v>
      </x:c>
      <x:c r="F56" s="43" t="str">
        <x:v>Separated exchange balance, aid-event frequency, and mutuality of the tie.</x:v>
      </x:c>
      <x:c r="G56" s="43" t="str">
        <x:v>Legacy record SOC-COOP-02; family Trust, Reciprocity &amp; Cooperation; evidence R017 (SRC224); R041 (SRC248); legacy secondary layers Cultural; Psychological. Original definition: A tendency to respond to beneficial or harmful treatment with behavior of similar valence.</x:v>
      </x:c>
      <x:c r="H56" s="43" t="str"/>
    </x:row>
    <x:row r="57" ht="66" customHeight="1">
      <x:c r="A57" s="43" t="str">
        <x:v>MIG-184</x:v>
      </x:c>
      <x:c r="B57" s="43" t="str">
        <x:v>Perceived fairness / inequity response</x:v>
      </x:c>
      <x:c r="C57" s="43" t="str">
        <x:v>Legacy migration decision</x:v>
      </x:c>
      <x:c r="D57" s="43" t="str">
        <x:v>Excluded / reclassified</x:v>
      </x:c>
      <x:c r="E57" s="43" t="str">
        <x:v>SOC-035; SOC-046</x:v>
      </x:c>
      <x:c r="F57" s="43" t="str">
        <x:v>Perceived fairness and inequity response are Psychological; observable exchange and control asymmetries remain Social.</x:v>
      </x:c>
      <x:c r="G57" s="43" t="str">
        <x:v>Legacy record SOC-COOP-03; family Trust, Reciprocity &amp; Cooperation; evidence R017 (SRC224); R018 (SRC225); legacy secondary layers Psychological; Cultural; Institutional. Original definition: Behavioral response to perceived fairness or unfairness in outcomes, procedures, or interpersonal treatment.</x:v>
      </x:c>
      <x:c r="H57" s="43" t="str">
        <x:v>Psychological; Institutional / Structural</x:v>
      </x:c>
    </x:row>
    <x:row r="58" ht="66" customHeight="1">
      <x:c r="A58" s="43" t="str">
        <x:v>MIG-185</x:v>
      </x:c>
      <x:c r="B58" s="43" t="str">
        <x:v>Conditional cooperation</x:v>
      </x:c>
      <x:c r="C58" s="43" t="str">
        <x:v>Legacy migration decision</x:v>
      </x:c>
      <x:c r="D58" s="43" t="str">
        <x:v>Excluded / reclassified</x:v>
      </x:c>
      <x:c r="E58" s="43" t="str">
        <x:v>SOC-034; SOC-033</x:v>
      </x:c>
      <x:c r="F58" s="43" t="str">
        <x:v>A response strategy or behavioral pattern; retained the observed cooperation climate and partner reliability conditions.</x:v>
      </x:c>
      <x:c r="G58" s="43" t="str">
        <x:v>Legacy record SOC-COOP-04; family Trust, Reciprocity &amp; Cooperation; evidence R018 (SRC225); R019 (SRC226); legacy secondary layers Psychological; Institutional. Original definition: A tendency to cooperate more when one expects or observes others cooperating.</x:v>
      </x:c>
      <x:c r="H58" s="43" t="str"/>
    </x:row>
    <x:row r="59" ht="66" customHeight="1">
      <x:c r="A59" s="43" t="str">
        <x:v>MIG-186</x:v>
      </x:c>
      <x:c r="B59" s="43" t="str">
        <x:v>Costly punishment / strong reciprocity</x:v>
      </x:c>
      <x:c r="C59" s="43" t="str">
        <x:v>Legacy migration decision</x:v>
      </x:c>
      <x:c r="D59" s="43" t="str">
        <x:v>Split</x:v>
      </x:c>
      <x:c r="E59" s="43" t="str">
        <x:v>SOC-006; SOC-007</x:v>
      </x:c>
      <x:c r="F59" s="43" t="str">
        <x:v>Punishment is behavior; canonical nodes describe its conditional likelihood and magnitude.</x:v>
      </x:c>
      <x:c r="G59" s="43" t="str">
        <x:v>Legacy record SOC-COOP-05; family Trust, Reciprocity &amp; Cooperation; evidence R018 (SRC225); R019 (SRC226); legacy secondary layers Institutional; Cultural. Original definition: Willingness to incur personal costs to punish norm violators or noncooperators.</x:v>
      </x:c>
      <x:c r="H59" s="43" t="str"/>
    </x:row>
    <x:row r="60" ht="66" customHeight="1">
      <x:c r="A60" s="43" t="str">
        <x:v>MIG-187</x:v>
      </x:c>
      <x:c r="B60" s="43" t="str">
        <x:v>Status motive</x:v>
      </x:c>
      <x:c r="C60" s="43" t="str">
        <x:v>Legacy migration decision</x:v>
      </x:c>
      <x:c r="D60" s="43" t="str">
        <x:v>Excluded / reclassified</x:v>
      </x:c>
      <x:c r="E60" s="43" t="str">
        <x:v>SOC-040</x:v>
      </x:c>
      <x:c r="F60" s="43" t="str">
        <x:v>The motive is Psychological; actual socially conferred rank remains Social.</x:v>
      </x:c>
      <x:c r="G60" s="43" t="str">
        <x:v>Legacy record SOC-STAT-01; family Status, Reputation, Power &amp; Authority; evidence R020 (SRC227); legacy secondary layers Psychological; Cultural. Original definition: Motivation to attain respect, admiration, prestige, or voluntary deference from others.</x:v>
      </x:c>
      <x:c r="H60" s="43" t="str">
        <x:v>Psychological</x:v>
      </x:c>
    </x:row>
    <x:row r="61" ht="66" customHeight="1">
      <x:c r="A61" s="43" t="str">
        <x:v>MIG-188</x:v>
      </x:c>
      <x:c r="B61" s="43" t="str">
        <x:v>Reputational concern</x:v>
      </x:c>
      <x:c r="C61" s="43" t="str">
        <x:v>Legacy migration decision</x:v>
      </x:c>
      <x:c r="D61" s="43" t="str">
        <x:v>Excluded / reclassified</x:v>
      </x:c>
      <x:c r="E61" s="43" t="str">
        <x:v>SOC-043; SOC-044</x:v>
      </x:c>
      <x:c r="F61" s="43" t="str">
        <x:v>Concern is Psychological; aggregate reputation and its audience reach are Social conditions.</x:v>
      </x:c>
      <x:c r="G61" s="43" t="str">
        <x:v>Legacy record SOC-STAT-02; family Status, Reputation, Power &amp; Authority; evidence R022 (SRC229); R042 (SRC249); legacy secondary layers Psychological; Technological. Original definition: Concern about how one's behavior will affect others' judgments and future treatment.</x:v>
      </x:c>
      <x:c r="H61" s="43" t="str">
        <x:v>Psychological</x:v>
      </x:c>
    </x:row>
    <x:row r="62" ht="66" customHeight="1">
      <x:c r="A62" s="43" t="str">
        <x:v>MIG-189</x:v>
      </x:c>
      <x:c r="B62" s="43" t="str">
        <x:v>Observability / audience effects</x:v>
      </x:c>
      <x:c r="C62" s="43" t="str">
        <x:v>Legacy migration decision</x:v>
      </x:c>
      <x:c r="D62" s="43" t="str">
        <x:v>Split</x:v>
      </x:c>
      <x:c r="E62" s="43" t="str">
        <x:v>SOC-082; SOC-083; SOC-084; SOC-085; SOC-086</x:v>
      </x:c>
      <x:c r="F62" s="43" t="str">
        <x:v>Decomposed the compound into distinct observable audience and evaluation conditions.</x:v>
      </x:c>
      <x:c r="G62" s="43" t="str">
        <x:v>Legacy record SOC-STAT-03; family Status, Reputation, Power &amp; Authority; evidence R022 (SRC229); legacy secondary layers Technological; Institutional. Original definition: Behavioral change produced by awareness that one's actions are visible or may be evaluated by others.</x:v>
      </x:c>
      <x:c r="H62" s="43" t="str">
        <x:v>Informational; Technological</x:v>
      </x:c>
    </x:row>
    <x:row r="63" ht="66" customHeight="1">
      <x:c r="A63" s="43" t="str">
        <x:v>MIG-190</x:v>
      </x:c>
      <x:c r="B63" s="43" t="str">
        <x:v>Social power / resource control</x:v>
      </x:c>
      <x:c r="C63" s="43" t="str">
        <x:v>Legacy migration decision</x:v>
      </x:c>
      <x:c r="D63" s="43" t="str">
        <x:v>Split</x:v>
      </x:c>
      <x:c r="E63" s="43" t="str">
        <x:v>SOC-046; SOC-047</x:v>
      </x:c>
      <x:c r="F63" s="43" t="str">
        <x:v>Separated directional control of valued resources from asymmetric dependence.</x:v>
      </x:c>
      <x:c r="G63" s="43" t="str">
        <x:v>Legacy record SOC-STAT-04; family Status, Reputation, Power &amp; Authority; evidence R021 (SRC228); R039 (SRC246); legacy secondary layers Institutional; Psychological. Original definition: Asymmetric capacity to control valued resources, outcomes, opportunities, or constraints affecting others.</x:v>
      </x:c>
      <x:c r="H63" s="43" t="str"/>
    </x:row>
    <x:row r="64" ht="66" customHeight="1">
      <x:c r="A64" s="43" t="str">
        <x:v>MIG-191</x:v>
      </x:c>
      <x:c r="B64" s="43" t="str">
        <x:v>Legitimate authority / obedience</x:v>
      </x:c>
      <x:c r="C64" s="43" t="str">
        <x:v>Legacy migration decision</x:v>
      </x:c>
      <x:c r="D64" s="43" t="str">
        <x:v>Split</x:v>
      </x:c>
      <x:c r="E64" s="43" t="str">
        <x:v>SOC-048</x:v>
      </x:c>
      <x:c r="F64" s="43" t="str">
        <x:v>Retained emergent socially accepted authority; legitimacy is an appraisal, obedience a behavior, and formal office an institutional condition.</x:v>
      </x:c>
      <x:c r="G64" s="43" t="str">
        <x:v>Legacy record SOC-STAT-05; family Status, Reputation, Power &amp; Authority; evidence R023 (SRC230); legacy secondary layers Institutional; Cultural. Original definition: Behavioral compliance with directives from a person or role perceived as having legitimate authority.</x:v>
      </x:c>
      <x:c r="H64" s="43" t="str">
        <x:v>Psychological; Institutional / Structural</x:v>
      </x:c>
    </x:row>
    <x:row r="65" ht="66" customHeight="1">
      <x:c r="A65" s="43" t="str">
        <x:v>MIG-192</x:v>
      </x:c>
      <x:c r="B65" s="43" t="str">
        <x:v>Upward social comparison</x:v>
      </x:c>
      <x:c r="C65" s="43" t="str">
        <x:v>Legacy migration decision</x:v>
      </x:c>
      <x:c r="D65" s="43" t="str">
        <x:v>Excluded / reclassified</x:v>
      </x:c>
      <x:c r="E65" s="43" t="str">
        <x:v>SOC-040</x:v>
      </x:c>
      <x:c r="F65" s="43" t="str">
        <x:v>Upward comparison is a Psychological selection and appraisal process; objective rank remains Social.</x:v>
      </x:c>
      <x:c r="G65" s="43" t="str">
        <x:v>Legacy record SOC-COMP-01; family Social Comparison &amp; Relative Position; evidence R024 (SRC231); legacy secondary layers Psychological. Original definition: Comparison with a person or group perceived as better off, more successful, or higher performing.</x:v>
      </x:c>
      <x:c r="H65" s="43" t="str">
        <x:v>Psychological</x:v>
      </x:c>
    </x:row>
    <x:row r="66" ht="66" customHeight="1">
      <x:c r="A66" s="43" t="str">
        <x:v>MIG-193</x:v>
      </x:c>
      <x:c r="B66" s="43" t="str">
        <x:v>Downward social comparison</x:v>
      </x:c>
      <x:c r="C66" s="43" t="str">
        <x:v>Legacy migration decision</x:v>
      </x:c>
      <x:c r="D66" s="43" t="str">
        <x:v>Excluded / reclassified</x:v>
      </x:c>
      <x:c r="E66" s="43" t="str">
        <x:v>SOC-040</x:v>
      </x:c>
      <x:c r="F66" s="43" t="str">
        <x:v>Downward comparison is a Psychological process rather than an external Social variable.</x:v>
      </x:c>
      <x:c r="G66" s="43" t="str">
        <x:v>Legacy record SOC-COMP-02; family Social Comparison &amp; Relative Position; evidence R024 (SRC231); legacy secondary layers Psychological. Original definition: Comparison with a person or group perceived as worse off or lower performing.</x:v>
      </x:c>
      <x:c r="H66" s="43" t="str">
        <x:v>Psychological</x:v>
      </x:c>
    </x:row>
    <x:row r="67" ht="66" customHeight="1">
      <x:c r="A67" s="43" t="str">
        <x:v>MIG-194</x:v>
      </x:c>
      <x:c r="B67" s="43" t="str">
        <x:v>Lateral / similar-other comparison</x:v>
      </x:c>
      <x:c r="C67" s="43" t="str">
        <x:v>Legacy migration decision</x:v>
      </x:c>
      <x:c r="D67" s="43" t="str">
        <x:v>Excluded / reclassified</x:v>
      </x:c>
      <x:c r="E67" s="43" t="str">
        <x:v>SOC-014</x:v>
      </x:c>
      <x:c r="F67" s="43" t="str">
        <x:v>Comparison is a Psychological process; externally observable model similarity is retained.</x:v>
      </x:c>
      <x:c r="G67" s="43" t="str">
        <x:v>Legacy record SOC-COMP-03; family Social Comparison &amp; Relative Position; evidence R024 (SRC231); legacy secondary layers Psychological. Original definition: Comparison with socially similar others used to calibrate ability, opinion, or appropriate behavior.</x:v>
      </x:c>
      <x:c r="H67" s="43" t="str">
        <x:v>Psychological</x:v>
      </x:c>
    </x:row>
    <x:row r="68" ht="66" customHeight="1">
      <x:c r="A68" s="43" t="str">
        <x:v>MIG-195</x:v>
      </x:c>
      <x:c r="B68" s="43" t="str">
        <x:v>Relative deprivation</x:v>
      </x:c>
      <x:c r="C68" s="43" t="str">
        <x:v>Legacy migration decision</x:v>
      </x:c>
      <x:c r="D68" s="43" t="str">
        <x:v>Excluded / reclassified</x:v>
      </x:c>
      <x:c r="E68" s="43" t="str">
        <x:v>SOC-040; SOC-096</x:v>
      </x:c>
      <x:c r="F68" s="43" t="str">
        <x:v>Relative deprivation is a subjective appraisal; objective relational position and group-status disparity are retained.</x:v>
      </x:c>
      <x:c r="G68" s="43" t="str">
        <x:v>Legacy record SOC-COMP-04; family Social Comparison &amp; Relative Position; evidence R025 (SRC232); legacy secondary layers Psychological; Institutional; Cultural. Original definition: Perceived disadvantage relative to a relevant person, group, expectation, or standard, accompanied by a sense of injustice or resentment.</x:v>
      </x:c>
      <x:c r="H68" s="43" t="str">
        <x:v>Psychological; Institutional / Structural</x:v>
      </x:c>
    </x:row>
    <x:row r="69" ht="66" customHeight="1">
      <x:c r="A69" s="43" t="str">
        <x:v>MIG-196</x:v>
      </x:c>
      <x:c r="B69" s="43" t="str">
        <x:v>Reference-group standards / social rank</x:v>
      </x:c>
      <x:c r="C69" s="43" t="str">
        <x:v>Legacy migration decision</x:v>
      </x:c>
      <x:c r="D69" s="43" t="str">
        <x:v>Split</x:v>
      </x:c>
      <x:c r="E69" s="43" t="str">
        <x:v>SOC-001; SOC-002; SOC-040</x:v>
      </x:c>
      <x:c r="F69" s="43" t="str">
        <x:v>Separated behavioral and approval standards from ordinal social position.</x:v>
      </x:c>
      <x:c r="G69" s="43" t="str">
        <x:v>Legacy record SOC-COMP-05; family Social Comparison &amp; Relative Position; evidence R024 (SRC231); R025 (SRC232); legacy secondary layers Psychological; Cultural. Original definition: Behavioral influence of the comparison group used to interpret one's own standing, performance, or acceptable outcomes.</x:v>
      </x:c>
      <x:c r="H69" s="43" t="str">
        <x:v>Psychological; Cultural</x:v>
      </x:c>
    </x:row>
    <x:row r="70" ht="66" customHeight="1">
      <x:c r="A70" s="43" t="str">
        <x:v>MIG-197</x:v>
      </x:c>
      <x:c r="B70" s="43" t="str">
        <x:v>Network exposure</x:v>
      </x:c>
      <x:c r="C70" s="43" t="str">
        <x:v>Legacy migration decision</x:v>
      </x:c>
      <x:c r="D70" s="43" t="str">
        <x:v>Split</x:v>
      </x:c>
      <x:c r="E70" s="43" t="str">
        <x:v>SOC-058; SOC-059; SOC-060</x:v>
      </x:c>
      <x:c r="F70" s="43" t="str">
        <x:v>Separated neighbor prevalence, encounter frequency, and source independence.</x:v>
      </x:c>
      <x:c r="G70" s="43" t="str">
        <x:v>Legacy record SOC-NET-01; family Social Networks &amp; Diffusion; evidence R028 (SRC235); R029 (SRC236); R030 (SRC237); legacy secondary layers Informational; Technological. Original definition: The amount and pattern of exposure to behaviors, opinions, or information through social ties.</x:v>
      </x:c>
      <x:c r="H70" s="43" t="str">
        <x:v>Informational; Technological</x:v>
      </x:c>
    </x:row>
    <x:row r="71" ht="66" customHeight="1">
      <x:c r="A71" s="43" t="str">
        <x:v>MIG-198</x:v>
      </x:c>
      <x:c r="B71" s="43" t="str">
        <x:v>Tie strength / relational closeness</x:v>
      </x:c>
      <x:c r="C71" s="43" t="str">
        <x:v>Legacy migration decision</x:v>
      </x:c>
      <x:c r="D71" s="43" t="str">
        <x:v>Split</x:v>
      </x:c>
      <x:c r="E71" s="43" t="str">
        <x:v>SOC-019; SOC-016; SOC-017; SOC-018</x:v>
      </x:c>
      <x:c r="F71" s="43" t="str">
        <x:v>Replaced the compound tie-strength label with explicit relational dimensions.</x:v>
      </x:c>
      <x:c r="G71" s="43" t="str">
        <x:v>Legacy record SOC-NET-02; family Social Networks &amp; Diffusion; evidence R027 (SRC234); R030 (SRC237); legacy secondary layers Informational. Original definition: The closeness, frequency, emotional intensity, or multiplexity of a social relationship.</x:v>
      </x:c>
      <x:c r="H71" s="43" t="str"/>
    </x:row>
    <x:row r="72" ht="66" customHeight="1">
      <x:c r="A72" s="43" t="str">
        <x:v>MIG-199</x:v>
      </x:c>
      <x:c r="B72" s="43" t="str">
        <x:v>Network clustering / social reinforcement</x:v>
      </x:c>
      <x:c r="C72" s="43" t="str">
        <x:v>Legacy migration decision</x:v>
      </x:c>
      <x:c r="D72" s="43" t="str">
        <x:v>Split</x:v>
      </x:c>
      <x:c r="E72" s="43" t="str">
        <x:v>SOC-053; SOC-061</x:v>
      </x:c>
      <x:c r="F72" s="43" t="str">
        <x:v>Separated network topology from the exposure condition through which multiple neighbors reinforce behavior.</x:v>
      </x:c>
      <x:c r="G72" s="43" t="str">
        <x:v>Legacy record SOC-NET-03; family Social Networks &amp; Diffusion; evidence R028 (SRC235); legacy secondary layers Technological; Informational. Original definition: Local network structure in which contacts are interconnected, allowing the same behavior to be reinforced by multiple socially connected sources.</x:v>
      </x:c>
      <x:c r="H72" s="43" t="str"/>
    </x:row>
    <x:row r="73" ht="66" customHeight="1">
      <x:c r="A73" s="43" t="str">
        <x:v>MIG-200</x:v>
      </x:c>
      <x:c r="B73" s="43" t="str">
        <x:v>Homophily</x:v>
      </x:c>
      <x:c r="C73" s="43" t="str">
        <x:v>Legacy migration decision</x:v>
      </x:c>
      <x:c r="D73" s="43" t="str">
        <x:v>Renamed / normalized</x:v>
      </x:c>
      <x:c r="E73" s="43" t="str">
        <x:v>SOC-054</x:v>
      </x:c>
      <x:c r="F73" s="43" t="str">
        <x:v>Represented baseline-aware like-with-like mixing rather than an inferred preference or influence process.</x:v>
      </x:c>
      <x:c r="G73" s="43" t="str">
        <x:v>Legacy record SOC-NET-04; family Social Networks &amp; Diffusion; evidence R026 (SRC233); legacy secondary layers Cultural; Institutional. Original definition: Tendency for social ties to form disproportionately among similar people.</x:v>
      </x:c>
      <x:c r="H73" s="43" t="str"/>
    </x:row>
    <x:row r="74" ht="66" customHeight="1">
      <x:c r="A74" s="43" t="str">
        <x:v>MIG-201</x:v>
      </x:c>
      <x:c r="B74" s="43" t="str">
        <x:v>Network centrality / social referent influence</x:v>
      </x:c>
      <x:c r="C74" s="43" t="str">
        <x:v>Legacy migration decision</x:v>
      </x:c>
      <x:c r="D74" s="43" t="str">
        <x:v>Split</x:v>
      </x:c>
      <x:c r="E74" s="43" t="str">
        <x:v>SOC-049; SOC-051; SOC-062</x:v>
      </x:c>
      <x:c r="F74" s="43" t="str">
        <x:v>Separated noninterchangeable centrality concepts from actual exposure to influential referents.</x:v>
      </x:c>
      <x:c r="G74" s="43" t="str">
        <x:v>Legacy record SOC-NET-05; family Social Networks &amp; Diffusion; evidence R029 (SRC236); R043 (SRC250); legacy secondary layers Technological; Informational. Original definition: Behavioral influence associated with occupying a structurally prominent or attention-attracting position in a social network.</x:v>
      </x:c>
      <x:c r="H74" s="43" t="str"/>
    </x:row>
    <x:row r="75" ht="66" customHeight="1">
      <x:c r="A75" s="43" t="str">
        <x:v>MIG-202</x:v>
      </x:c>
      <x:c r="B75" s="43" t="str">
        <x:v>Brokerage / bridging position</x:v>
      </x:c>
      <x:c r="C75" s="43" t="str">
        <x:v>Legacy migration decision</x:v>
      </x:c>
      <x:c r="D75" s="43" t="str">
        <x:v>Split</x:v>
      </x:c>
      <x:c r="E75" s="43" t="str">
        <x:v>SOC-050; SOC-055; SOC-056</x:v>
      </x:c>
      <x:c r="F75" s="43" t="str">
        <x:v>Separated shortest-path position, constraint, and observed cross-cluster ties.</x:v>
      </x:c>
      <x:c r="G75" s="43" t="str">
        <x:v>Legacy record SOC-NET-06; family Social Networks &amp; Diffusion; evidence R027 (SRC234); R026 (SRC233); legacy secondary layers Informational; Institutional. Original definition: A network position linking otherwise weakly connected people or groups.</x:v>
      </x:c>
      <x:c r="H75" s="43" t="str"/>
    </x:row>
    <x:row r="76" ht="66" customHeight="1">
      <x:c r="A76" s="43" t="str">
        <x:v>MIG-203</x:v>
      </x:c>
      <x:c r="B76" s="43" t="str">
        <x:v>Collective efficacy</x:v>
      </x:c>
      <x:c r="C76" s="43" t="str">
        <x:v>Legacy migration decision</x:v>
      </x:c>
      <x:c r="D76" s="43" t="str">
        <x:v>Retained</x:v>
      </x:c>
      <x:c r="E76" s="43" t="str">
        <x:v>SOC-077</x:v>
      </x:c>
      <x:c r="F76" s="43" t="str">
        <x:v>Retained as a group-referent shared capability belief with required aggregation evidence.</x:v>
      </x:c>
      <x:c r="G76" s="43" t="str">
        <x:v>Legacy record SOC-COLL-01; family Collective Action &amp; Responsibility; evidence R031 (SRC238); R011 (SRC218); legacy secondary layers Psychological; Institutional. Original definition: Shared belief that a group can organize and execute actions needed to achieve desired outcomes.</x:v>
      </x:c>
      <x:c r="H76" s="43" t="str">
        <x:v>Psychological boundary</x:v>
      </x:c>
    </x:row>
    <x:row r="77" ht="66" customHeight="1">
      <x:c r="A77" s="43" t="str">
        <x:v>MIG-204</x:v>
      </x:c>
      <x:c r="B77" s="43" t="str">
        <x:v>Coordination expectations</x:v>
      </x:c>
      <x:c r="C77" s="43" t="str">
        <x:v>Legacy migration decision</x:v>
      </x:c>
      <x:c r="D77" s="43" t="str">
        <x:v>Renamed / normalized</x:v>
      </x:c>
      <x:c r="E77" s="43" t="str">
        <x:v>SOC-076</x:v>
      </x:c>
      <x:c r="F77" s="43" t="str">
        <x:v>Represented the degree of mutual consistency in actors' expectations about one another.</x:v>
      </x:c>
      <x:c r="G77" s="43" t="str">
        <x:v>Legacy record SOC-COLL-02; family Collective Action &amp; Responsibility; evidence R011 (SRC218); R030 (SRC237); legacy secondary layers Informational; Institutional. Original definition: Beliefs about whether, when, and how others will act in ways necessary for successful joint action.</x:v>
      </x:c>
      <x:c r="H77" s="43" t="str"/>
    </x:row>
    <x:row r="78" ht="66" customHeight="1">
      <x:c r="A78" s="43" t="str">
        <x:v>MIG-205</x:v>
      </x:c>
      <x:c r="B78" s="43" t="str">
        <x:v>Common knowledge / shared expectations</x:v>
      </x:c>
      <x:c r="C78" s="43" t="str">
        <x:v>Legacy migration decision</x:v>
      </x:c>
      <x:c r="D78" s="43" t="str">
        <x:v>Split</x:v>
      </x:c>
      <x:c r="E78" s="43" t="str">
        <x:v>SOC-075; SOC-076</x:v>
      </x:c>
      <x:c r="F78" s="43" t="str">
        <x:v>Separated recursively public knowledge from aligned expectations about action.</x:v>
      </x:c>
      <x:c r="G78" s="43" t="str">
        <x:v>Legacy record SOC-COLL-03; family Collective Action &amp; Responsibility; evidence R030 (SRC237); legacy secondary layers Informational. Original definition: A social condition in which people know a fact or expectation and also know that relevant others know it.</x:v>
      </x:c>
      <x:c r="H78" s="43" t="str">
        <x:v>Psychological; Informational</x:v>
      </x:c>
    </x:row>
    <x:row r="79" ht="66" customHeight="1">
      <x:c r="A79" s="43" t="str">
        <x:v>MIG-206</x:v>
      </x:c>
      <x:c r="B79" s="43" t="str">
        <x:v>Diffusion of responsibility / bystander presence</x:v>
      </x:c>
      <x:c r="C79" s="43" t="str">
        <x:v>Legacy migration decision</x:v>
      </x:c>
      <x:c r="D79" s="43" t="str">
        <x:v>Split</x:v>
      </x:c>
      <x:c r="E79" s="43" t="str">
        <x:v>SOC-080; SOC-082; SOC-083</x:v>
      </x:c>
      <x:c r="F79" s="43" t="str">
        <x:v>Diffusion is a Psychological mechanism; retained responsibility allocation and observable bystander conditions.</x:v>
      </x:c>
      <x:c r="G79" s="43" t="str">
        <x:v>Legacy record SOC-COLL-04; family Collective Action &amp; Responsibility; evidence R032 (SRC239); legacy secondary layers Psychological; Institutional. Original definition: Reduction in perceived personal responsibility when other potential actors are present.</x:v>
      </x:c>
      <x:c r="H79" s="43" t="str">
        <x:v>Psychological</x:v>
      </x:c>
    </x:row>
    <x:row r="80" ht="66" customHeight="1">
      <x:c r="A80" s="43" t="str">
        <x:v>MIG-207</x:v>
      </x:c>
      <x:c r="B80" s="43" t="str">
        <x:v>Social loafing</x:v>
      </x:c>
      <x:c r="C80" s="43" t="str">
        <x:v>Legacy migration decision</x:v>
      </x:c>
      <x:c r="D80" s="43" t="str">
        <x:v>Excluded / reclassified</x:v>
      </x:c>
      <x:c r="E80" s="43" t="str">
        <x:v>SOC-079; SOC-039</x:v>
      </x:c>
      <x:c r="F80" s="43" t="str">
        <x:v>Loafing is an effort behavior; retained traceability and observed undercontribution conditions.</x:v>
      </x:c>
      <x:c r="G80" s="43" t="str">
        <x:v>Legacy record SOC-COLL-05; family Collective Action &amp; Responsibility; evidence R033 (SRC240); legacy secondary layers Psychological; Institutional. Original definition: Reduction in individual effort when contributions are pooled or individual inputs are less identifiable.</x:v>
      </x:c>
      <x:c r="H80" s="43" t="str">
        <x:v>Psychological</x:v>
      </x:c>
    </x:row>
    <x:row r="81" ht="66" customHeight="1">
      <x:c r="A81" s="43" t="str">
        <x:v>MIG-208</x:v>
      </x:c>
      <x:c r="B81" s="43" t="str">
        <x:v>Social facilitation / audience presence</x:v>
      </x:c>
      <x:c r="C81" s="43" t="str">
        <x:v>Legacy migration decision</x:v>
      </x:c>
      <x:c r="D81" s="43" t="str">
        <x:v>Split</x:v>
      </x:c>
      <x:c r="E81" s="43" t="str">
        <x:v>SOC-082; SOC-012</x:v>
      </x:c>
      <x:c r="F81" s="43" t="str">
        <x:v>Social facilitation is a mechanism or performance effect; retained the audience and coactor conditions.</x:v>
      </x:c>
      <x:c r="G81" s="43" t="str">
        <x:v>Legacy record SOC-GRP-01; family Group Performance &amp; Deliberation; evidence R034 (SRC241); legacy secondary layers Psychological; Biological. Original definition: Change in task performance caused by the presence of other people.</x:v>
      </x:c>
      <x:c r="H81" s="43" t="str">
        <x:v>Psychological</x:v>
      </x:c>
    </x:row>
    <x:row r="82" ht="66" customHeight="1">
      <x:c r="A82" s="43" t="str">
        <x:v>MIG-209</x:v>
      </x:c>
      <x:c r="B82" s="43" t="str">
        <x:v>Evaluation apprehension</x:v>
      </x:c>
      <x:c r="C82" s="43" t="str">
        <x:v>Legacy migration decision</x:v>
      </x:c>
      <x:c r="D82" s="43" t="str">
        <x:v>Excluded / reclassified</x:v>
      </x:c>
      <x:c r="E82" s="43" t="str">
        <x:v>SOC-086</x:v>
      </x:c>
      <x:c r="F82" s="43" t="str">
        <x:v>Apprehension is a Psychological state; the objective probability of social evaluation remains Social.</x:v>
      </x:c>
      <x:c r="G82" s="43" t="str">
        <x:v>Legacy record SOC-GRP-02; family Group Performance &amp; Deliberation; evidence R034 (SRC241); R022 (SRC229); legacy secondary layers Psychological. Original definition: Concern about being judged by other people while performing or deciding.</x:v>
      </x:c>
      <x:c r="H82" s="43" t="str">
        <x:v>Psychological</x:v>
      </x:c>
    </x:row>
    <x:row r="83" ht="66" customHeight="1">
      <x:c r="A83" s="43" t="str">
        <x:v>MIG-210</x:v>
      </x:c>
      <x:c r="B83" s="43" t="str">
        <x:v>Accountability to others</x:v>
      </x:c>
      <x:c r="C83" s="43" t="str">
        <x:v>Legacy migration decision</x:v>
      </x:c>
      <x:c r="D83" s="43" t="str">
        <x:v>Renamed / normalized</x:v>
      </x:c>
      <x:c r="E83" s="43" t="str">
        <x:v>SOC-081</x:v>
      </x:c>
      <x:c r="F83" s="43" t="str">
        <x:v>Specified the strength of answerability to identifiable peers and bounded it from formal audit systems.</x:v>
      </x:c>
      <x:c r="G83" s="43" t="str">
        <x:v>Legacy record SOC-GRP-03; family Group Performance &amp; Deliberation; evidence R022 (SRC229); legacy secondary layers Institutional; Psychological. Original definition: Expectation that one may need to justify beliefs, decisions, or actions to another person or audience.</x:v>
      </x:c>
      <x:c r="H83" s="43" t="str">
        <x:v>Institutional / Structural</x:v>
      </x:c>
    </x:row>
    <x:row r="84" ht="66" customHeight="1">
      <x:c r="A84" s="43" t="str">
        <x:v>MIG-211</x:v>
      </x:c>
      <x:c r="B84" s="43" t="str">
        <x:v>Group polarization</x:v>
      </x:c>
      <x:c r="C84" s="43" t="str">
        <x:v>Legacy migration decision</x:v>
      </x:c>
      <x:c r="D84" s="43" t="str">
        <x:v>Excluded / reclassified</x:v>
      </x:c>
      <x:c r="E84" s="43" t="str">
        <x:v>SOC-068; SOC-069; SOC-071</x:v>
      </x:c>
      <x:c r="F84" s="43" t="str">
        <x:v>Polarization is a group outcome; retained upstream deliberative and composition conditions.</x:v>
      </x:c>
      <x:c r="G84" s="43" t="str">
        <x:v>Legacy record SOC-GRP-04; family Group Performance &amp; Deliberation; evidence R035 (SRC242); legacy secondary layers Informational; Psychological. Original definition: Tendency for group discussion to move average judgments toward a more extreme version of the group's initial tendency.</x:v>
      </x:c>
      <x:c r="H84" s="43" t="str">
        <x:v>Psychological</x:v>
      </x:c>
    </x:row>
    <x:row r="85" ht="66" customHeight="1">
      <x:c r="A85" s="43" t="str">
        <x:v>MIG-212</x:v>
      </x:c>
      <x:c r="B85" s="43" t="str">
        <x:v>Group cohesion</x:v>
      </x:c>
      <x:c r="C85" s="43" t="str">
        <x:v>Legacy migration decision</x:v>
      </x:c>
      <x:c r="D85" s="43" t="str">
        <x:v>Retained</x:v>
      </x:c>
      <x:c r="E85" s="43" t="str">
        <x:v>SOC-065</x:v>
      </x:c>
      <x:c r="F85" s="43" t="str">
        <x:v>Retained as an emergent group state and bounded from performance outcomes.</x:v>
      </x:c>
      <x:c r="G85" s="43" t="str">
        <x:v>Legacy record SOC-GRP-05; family Group Performance &amp; Deliberation; evidence R036 (SRC243); legacy secondary layers Psychological; Cultural. Original definition: Strength of members' attraction, commitment, task bonding, and social integration within a group.</x:v>
      </x:c>
      <x:c r="H85" s="43" t="str"/>
    </x:row>
    <x:row r="86" ht="66" customHeight="1">
      <x:c r="A86" s="43" t="str">
        <x:v>MIG-213</x:v>
      </x:c>
      <x:c r="B86" s="43" t="str">
        <x:v>Dissent availability</x:v>
      </x:c>
      <x:c r="C86" s="43" t="str">
        <x:v>Legacy migration decision</x:v>
      </x:c>
      <x:c r="D86" s="43" t="str">
        <x:v>Retained</x:v>
      </x:c>
      <x:c r="E86" s="43" t="str">
        <x:v>SOC-069</x:v>
      </x:c>
      <x:c r="F86" s="43" t="str">
        <x:v>Retained as the observable accessibility of openly expressed alternatives.</x:v>
      </x:c>
      <x:c r="G86" s="43" t="str">
        <x:v>Legacy record SOC-GRP-06; family Group Performance &amp; Deliberation; evidence R006 (SRC213); R007 (SRC214); legacy secondary layers Informational; Psychological. Original definition: Presence of visible disagreement or alternative viewpoints within a group.</x:v>
      </x:c>
      <x:c r="H86" s="43" t="str"/>
    </x:row>
    <x:row r="87" ht="66" customHeight="1">
      <x:c r="A87" s="43" t="str">
        <x:v>MIG-214</x:v>
      </x:c>
      <x:c r="B87" s="43" t="str">
        <x:v>Realistic intergroup threat</x:v>
      </x:c>
      <x:c r="C87" s="43" t="str">
        <x:v>Legacy migration decision</x:v>
      </x:c>
      <x:c r="D87" s="43" t="str">
        <x:v>Excluded / reclassified</x:v>
      </x:c>
      <x:c r="E87" s="43" t="str">
        <x:v>SOC-092; SOC-093; SOC-096</x:v>
      </x:c>
      <x:c r="F87" s="43" t="str">
        <x:v>Threat is a Psychological appraisal; retained external competition, dependence, and status conditions.</x:v>
      </x:c>
      <x:c r="G87" s="43" t="str">
        <x:v>Legacy record SOC-INT-01; family Intergroup Relations; evidence R038 (SRC245); legacy secondary layers Institutional; Cultural; Psychological. Original definition: Perceived threat from another group to material resources, physical safety, political power, territory, or economic interests.</x:v>
      </x:c>
      <x:c r="H87" s="43" t="str">
        <x:v>Psychological; Institutional / Structural</x:v>
      </x:c>
    </x:row>
    <x:row r="88" ht="66" customHeight="1">
      <x:c r="A88" s="43" t="str">
        <x:v>MIG-215</x:v>
      </x:c>
      <x:c r="B88" s="43" t="str">
        <x:v>Symbolic intergroup threat</x:v>
      </x:c>
      <x:c r="C88" s="43" t="str">
        <x:v>Legacy migration decision</x:v>
      </x:c>
      <x:c r="D88" s="43" t="str">
        <x:v>Excluded / reclassified</x:v>
      </x:c>
      <x:c r="E88" s="43" t="str"/>
      <x:c r="F88" s="43" t="str">
        <x:v>A Psychological and Cultural appraisal about values, identity, or worldview rather than an external Social variable.</x:v>
      </x:c>
      <x:c r="G88" s="43" t="str">
        <x:v>Legacy record SOC-INT-02; family Intergroup Relations; evidence R038 (SRC245); legacy secondary layers Cultural; Psychological; Informational. Original definition: Perceived threat from another group to values, identity, beliefs, norms, or way of life.</x:v>
      </x:c>
      <x:c r="H88" s="43" t="str">
        <x:v>Psychological; Cultural</x:v>
      </x:c>
    </x:row>
    <x:row r="89" ht="66" customHeight="1">
      <x:c r="A89" s="43" t="str">
        <x:v>MIG-216</x:v>
      </x:c>
      <x:c r="B89" s="43" t="str">
        <x:v>Intergroup anxiety</x:v>
      </x:c>
      <x:c r="C89" s="43" t="str">
        <x:v>Legacy migration decision</x:v>
      </x:c>
      <x:c r="D89" s="43" t="str">
        <x:v>Excluded / reclassified</x:v>
      </x:c>
      <x:c r="E89" s="43" t="str">
        <x:v>SOC-088; SOC-089</x:v>
      </x:c>
      <x:c r="F89" s="43" t="str">
        <x:v>Anxiety is Psychological; observable cross-group contact conditions remain Social.</x:v>
      </x:c>
      <x:c r="G89" s="43" t="str">
        <x:v>Legacy record SOC-INT-03; family Intergroup Relations; evidence R038 (SRC245); R040 (SRC247); legacy secondary layers Psychological; Cultural. Original definition: Anxiety or discomfort anticipated or experienced during interaction with members of another group.</x:v>
      </x:c>
      <x:c r="H89" s="43" t="str">
        <x:v>Psychological</x:v>
      </x:c>
    </x:row>
    <x:row r="90" ht="66" customHeight="1">
      <x:c r="A90" s="43" t="str">
        <x:v>MIG-217</x:v>
      </x:c>
      <x:c r="B90" s="43" t="str">
        <x:v>Intergroup contact</x:v>
      </x:c>
      <x:c r="C90" s="43" t="str">
        <x:v>Legacy migration decision</x:v>
      </x:c>
      <x:c r="D90" s="43" t="str">
        <x:v>Split</x:v>
      </x:c>
      <x:c r="E90" s="43" t="str">
        <x:v>SOC-088; SOC-089; SOC-090</x:v>
      </x:c>
      <x:c r="F90" s="43" t="str">
        <x:v>Separated contact amount, valence/quality, and durable close cross-group ties.</x:v>
      </x:c>
      <x:c r="G90" s="43" t="str">
        <x:v>Legacy record SOC-INT-04; family Intergroup Relations; evidence R037 (SRC244); R040 (SRC247); legacy secondary layers Cultural; Institutional; Psychological. Original definition: Direct or indirect interaction with members of another social group.</x:v>
      </x:c>
      <x:c r="H90" s="43" t="str">
        <x:v>Institutional / Structural boundary</x:v>
      </x:c>
    </x:row>
    <x:row r="91" ht="66" customHeight="1">
      <x:c r="A91" s="43" t="str">
        <x:v>MIG-218</x:v>
      </x:c>
      <x:c r="B91" s="43" t="str">
        <x:v>Intergroup competition</x:v>
      </x:c>
      <x:c r="C91" s="43" t="str">
        <x:v>Legacy migration decision</x:v>
      </x:c>
      <x:c r="D91" s="43" t="str">
        <x:v>Renamed / normalized</x:v>
      </x:c>
      <x:c r="E91" s="43" t="str">
        <x:v>SOC-092</x:v>
      </x:c>
      <x:c r="F91" s="43" t="str">
        <x:v>Canonicalized the degree of zero-sum rivalry as a variable.</x:v>
      </x:c>
      <x:c r="G91" s="43" t="str">
        <x:v>Legacy record SOC-INT-05; family Intergroup Relations; evidence R038 (SRC245); R009 (SRC216); legacy secondary layers Institutional; Cultural; Psychological. Original definition: Perceived or actual competition between groups over scarce resources, status, territory, influence, or incompatible goals.</x:v>
      </x:c>
      <x:c r="H91" s="43" t="str">
        <x:v>Institutional / Structural boundary</x:v>
      </x:c>
    </x:row>
    <x:row r="92" ht="62" customHeight="1">
      <x:c r="A92"/>
      <x:c r="B92"/>
      <x:c r="C92"/>
      <x:c r="D92"/>
      <x:c r="E92"/>
      <x:c r="F92"/>
      <x:c r="G92"/>
      <x:c r="H92"/>
    </x:row>
    <x:row r="93" ht="62" customHeight="1">
      <x:c r="A93"/>
      <x:c r="B93"/>
      <x:c r="C93"/>
      <x:c r="D93"/>
      <x:c r="E93"/>
      <x:c r="F93"/>
      <x:c r="G93"/>
      <x:c r="H93"/>
    </x:row>
    <x:row r="94" ht="62" customHeight="1">
      <x:c r="A94"/>
      <x:c r="B94"/>
      <x:c r="C94"/>
      <x:c r="D94"/>
      <x:c r="E94"/>
      <x:c r="F94"/>
      <x:c r="G94"/>
      <x:c r="H94"/>
    </x:row>
    <x:row r="95" ht="62" customHeight="1">
      <x:c r="A95"/>
      <x:c r="B95"/>
      <x:c r="C95"/>
      <x:c r="D95"/>
      <x:c r="E95"/>
      <x:c r="F95"/>
      <x:c r="G95"/>
      <x:c r="H95"/>
    </x:row>
    <x:row r="96" ht="62" customHeight="1">
      <x:c r="A96"/>
      <x:c r="B96"/>
      <x:c r="C96"/>
      <x:c r="D96"/>
      <x:c r="E96"/>
      <x:c r="F96"/>
      <x:c r="G96"/>
      <x:c r="H96"/>
    </x:row>
    <x:row r="97" ht="62" customHeight="1">
      <x:c r="A97"/>
      <x:c r="B97"/>
      <x:c r="C97"/>
      <x:c r="D97"/>
      <x:c r="E97"/>
      <x:c r="F97"/>
      <x:c r="G97"/>
      <x:c r="H97"/>
    </x:row>
    <x:row r="98" ht="62" customHeight="1">
      <x:c r="A98"/>
      <x:c r="B98"/>
      <x:c r="C98"/>
      <x:c r="D98"/>
      <x:c r="E98"/>
      <x:c r="F98"/>
      <x:c r="G98"/>
      <x:c r="H98"/>
    </x:row>
    <x:row r="99" ht="62" customHeight="1">
      <x:c r="A99"/>
      <x:c r="B99"/>
      <x:c r="C99"/>
      <x:c r="D99"/>
      <x:c r="E99"/>
      <x:c r="F99"/>
      <x:c r="G99"/>
      <x:c r="H99"/>
    </x:row>
    <x:row r="100" ht="62" customHeight="1">
      <x:c r="A100"/>
      <x:c r="B100"/>
      <x:c r="C100"/>
      <x:c r="D100"/>
      <x:c r="E100"/>
      <x:c r="F100"/>
      <x:c r="G100"/>
      <x:c r="H100"/>
    </x:row>
    <x:row r="101" ht="62" customHeight="1">
      <x:c r="A101"/>
      <x:c r="B101"/>
      <x:c r="C101"/>
      <x:c r="D101"/>
      <x:c r="E101"/>
      <x:c r="F101"/>
      <x:c r="G101"/>
      <x:c r="H101"/>
    </x:row>
    <x:row r="102" ht="62" customHeight="1">
      <x:c r="A102"/>
      <x:c r="B102"/>
      <x:c r="C102"/>
      <x:c r="D102"/>
      <x:c r="E102"/>
      <x:c r="F102"/>
      <x:c r="G102"/>
      <x:c r="H102"/>
    </x:row>
    <x:row r="103" ht="62" customHeight="1">
      <x:c r="A103"/>
      <x:c r="B103"/>
      <x:c r="C103"/>
      <x:c r="D103"/>
      <x:c r="E103"/>
      <x:c r="F103"/>
      <x:c r="G103"/>
      <x:c r="H103"/>
    </x:row>
    <x:row r="104" ht="62" customHeight="1">
      <x:c r="A104"/>
      <x:c r="B104"/>
      <x:c r="C104"/>
      <x:c r="D104"/>
      <x:c r="E104"/>
      <x:c r="F104"/>
      <x:c r="G104"/>
      <x:c r="H104"/>
    </x:row>
    <x:row r="105" ht="62" customHeight="1">
      <x:c r="A105"/>
      <x:c r="B105"/>
      <x:c r="C105"/>
      <x:c r="D105"/>
      <x:c r="E105"/>
      <x:c r="F105"/>
      <x:c r="G105"/>
      <x:c r="H105"/>
    </x:row>
    <x:row r="106" ht="62" customHeight="1">
      <x:c r="A106"/>
      <x:c r="B106"/>
      <x:c r="C106"/>
      <x:c r="D106"/>
      <x:c r="E106"/>
      <x:c r="F106"/>
      <x:c r="G106"/>
      <x:c r="H106"/>
    </x:row>
    <x:row r="107" ht="62" customHeight="1">
      <x:c r="A107"/>
      <x:c r="B107"/>
      <x:c r="C107"/>
      <x:c r="D107"/>
      <x:c r="E107"/>
      <x:c r="F107"/>
      <x:c r="G107"/>
      <x:c r="H107"/>
    </x:row>
    <x:row r="108" ht="62" customHeight="1">
      <x:c r="A108"/>
      <x:c r="B108"/>
      <x:c r="C108"/>
      <x:c r="D108"/>
      <x:c r="E108"/>
      <x:c r="F108"/>
      <x:c r="G108"/>
      <x:c r="H108"/>
    </x:row>
    <x:row r="109" ht="62" customHeight="1">
      <x:c r="A109"/>
      <x:c r="B109"/>
      <x:c r="C109"/>
      <x:c r="D109"/>
      <x:c r="E109"/>
      <x:c r="F109"/>
      <x:c r="G109"/>
      <x:c r="H109"/>
    </x:row>
    <x:row r="110" ht="62" customHeight="1">
      <x:c r="A110"/>
      <x:c r="B110"/>
      <x:c r="C110"/>
      <x:c r="D110"/>
      <x:c r="E110"/>
      <x:c r="F110"/>
      <x:c r="G110"/>
      <x:c r="H110"/>
    </x:row>
    <x:row r="111" ht="62" customHeight="1">
      <x:c r="A111"/>
      <x:c r="B111"/>
      <x:c r="C111"/>
      <x:c r="D111"/>
      <x:c r="E111"/>
      <x:c r="F111"/>
      <x:c r="G111"/>
      <x:c r="H111"/>
    </x:row>
    <x:row r="112" ht="62" customHeight="1">
      <x:c r="A112"/>
      <x:c r="B112"/>
      <x:c r="C112"/>
      <x:c r="D112"/>
      <x:c r="E112"/>
      <x:c r="F112"/>
      <x:c r="G112"/>
      <x:c r="H112"/>
    </x:row>
  </x:sheetData>
  <x:mergeCells>
    <x:mergeCell ref="A1:H1"/>
    <x:mergeCell ref="A2:H2"/>
  </x:mergeCells>
  <x:dataValidations count="2">
    <x:dataValidation type="list" sqref="D5:D112">
      <x:formula1>"Retained,Renamed / normalized,Merged,Split,Excluded / reclassified,Deprecated,Provisional,Cross-layer review"</x:formula1>
    </x:dataValidation>
    <x:dataValidation type="list" sqref="D5:D91">
      <x:formula1>"Retained,Renamed / normalized,Merged,Split,Excluded / reclassified,Deprecated,Provisional,Cross-layer review"</x:formula1>
    </x:dataValidation>
  </x:dataValidations>
  <x:pageMargins left="0.7" right="0.7" top="0.75" bottom="0.75" header="0.3" footer="0.3"/>
  <x:tableParts count="1">
    <x:tablePart xmlns:r="http://schemas.openxmlformats.org/officeDocument/2006/relationships" r:id="Rc1d52f3474604a6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58" hidden="0" customWidth="1"/>
    <x:col min="4" max="4" width="60" hidden="0" customWidth="1"/>
    <x:col min="5" max="5" width="12" hidden="0" customWidth="1"/>
    <x:col min="6" max="6" width="60" hidden="0" customWidth="1"/>
  </x:cols>
  <x:sheetData>
    <x:row r="1" ht="34" customHeight="1">
      <x:c r="A1" s="3" t="str">
        <x:v>PSYWERX Driver Ontology Codebook v1.0</x:v>
      </x:c>
      <x:c r="B1" s="3"/>
      <x:c r="C1" s="3"/>
      <x:c r="D1" s="3"/>
      <x:c r="E1" s="3"/>
      <x:c r="F1" s="3"/>
    </x:row>
    <x:row r="2" ht="34" customHeight="1">
      <x:c r="A2" s="7" t="str">
        <x:v>Controlling field definitions and allowed values. Copy unchanged to all eight layer workbooks; layer-specific examples belong outside allowed-value definitions.</x:v>
      </x:c>
      <x:c r="B2" s="7"/>
      <x:c r="C2" s="7"/>
      <x:c r="D2" s="7"/>
      <x:c r="E2" s="7"/>
      <x:c r="F2" s="7"/>
    </x:row>
    <x:row r="3">
      <x:c r="A3" s="38"/>
      <x:c r="B3" s="38"/>
      <x:c r="C3" s="38"/>
      <x:c r="D3" s="38"/>
      <x:c r="E3" s="38"/>
      <x:c r="F3" s="38"/>
    </x:row>
    <x:row r="4" ht="30" customHeight="1">
      <x:c r="A4" s="14" t="str">
        <x:v>Sheet</x:v>
      </x:c>
      <x:c r="B4" s="31" t="str">
        <x:v>Field</x:v>
      </x:c>
      <x:c r="C4" s="31" t="str">
        <x:v>Definition</x:v>
      </x:c>
      <x:c r="D4" s="31" t="str">
        <x:v>Allowed Values / Format</x:v>
      </x:c>
      <x:c r="E4" s="31" t="str">
        <x:v>Required</x:v>
      </x:c>
      <x:c r="F4" s="15" t="str">
        <x:v>Rule / Guidance</x:v>
      </x:c>
    </x:row>
    <x:row r="5">
      <x:c r="A5" s="23" t="str">
        <x:v>Layer Summary</x:v>
      </x:c>
      <x:c r="B5" s="23" t="str">
        <x:v>Layer definition</x:v>
      </x:c>
      <x:c r="C5" s="23" t="str">
        <x:v>Definition of the layer’s variable domain.</x:v>
      </x:c>
      <x:c r="D5" s="23" t="str">
        <x:v>Free text</x:v>
      </x:c>
      <x:c r="E5" s="23" t="str">
        <x:v>Yes</x:v>
      </x:c>
      <x:c r="F5" s="23" t="str">
        <x:v>Describe the nature of included variables, not every upstream source.</x:v>
      </x:c>
    </x:row>
    <x:row r="6">
      <x:c r="A6" s="24" t="str">
        <x:v>Layer Summary</x:v>
      </x:c>
      <x:c r="B6" s="24" t="str">
        <x:v>Scope</x:v>
      </x:c>
      <x:c r="C6" s="24" t="str">
        <x:v>Inclusion scope for the layer.</x:v>
      </x:c>
      <x:c r="D6" s="24" t="str">
        <x:v>Free text</x:v>
      </x:c>
      <x:c r="E6" s="24" t="str">
        <x:v>Yes</x:v>
      </x:c>
      <x:c r="F6" s="24" t="str">
        <x:v>State principal included variable classes.</x:v>
      </x:c>
    </x:row>
    <x:row r="7">
      <x:c r="A7" s="24" t="str">
        <x:v>Layer Summary</x:v>
      </x:c>
      <x:c r="B7" s="24" t="str">
        <x:v>Boundary with other layers</x:v>
      </x:c>
      <x:c r="C7" s="24" t="str">
        <x:v>Primary exclusions and assignment boundaries.</x:v>
      </x:c>
      <x:c r="D7" s="24" t="str">
        <x:v>Free text</x:v>
      </x:c>
      <x:c r="E7" s="24" t="str">
        <x:v>Yes</x:v>
      </x:c>
      <x:c r="F7" s="24" t="str">
        <x:v>Use nature-of-variable assignment rule.</x:v>
      </x:c>
    </x:row>
    <x:row r="8">
      <x:c r="A8" s="24" t="str">
        <x:v>Layer Summary</x:v>
      </x:c>
      <x:c r="B8" s="24" t="str">
        <x:v>Ontology Standard Version</x:v>
      </x:c>
      <x:c r="C8" s="24" t="str">
        <x:v>Controlling ontology standard.</x:v>
      </x:c>
      <x:c r="D8" s="24" t="str">
        <x:v>PSYWERX Driver Ontology Standard v1.0</x:v>
      </x:c>
      <x:c r="E8" s="24" t="str">
        <x:v>Yes</x:v>
      </x:c>
      <x:c r="F8" s="24" t="str">
        <x:v>Change only through ontology-wide version control.</x:v>
      </x:c>
    </x:row>
    <x:row r="9">
      <x:c r="A9" s="24" t="str">
        <x:v>Layer Summary</x:v>
      </x:c>
      <x:c r="B9" s="24" t="str">
        <x:v>Layer Taxonomy Version</x:v>
      </x:c>
      <x:c r="C9" s="24" t="str">
        <x:v>Version of layer content.</x:v>
      </x:c>
      <x:c r="D9" s="24" t="str">
        <x:v>Layer name + semantic version</x:v>
      </x:c>
      <x:c r="E9" s="24" t="str">
        <x:v>Yes</x:v>
      </x:c>
      <x:c r="F9" s="24" t="str">
        <x:v>Content revisions need not change the ontology standard.</x:v>
      </x:c>
    </x:row>
    <x:row r="10">
      <x:c r="A10" s="24" t="str">
        <x:v>Layer Summary</x:v>
      </x:c>
      <x:c r="B10" s="24" t="str">
        <x:v>Creation Date / Last Review Date</x:v>
      </x:c>
      <x:c r="C10" s="24" t="str">
        <x:v>Version-control dates.</x:v>
      </x:c>
      <x:c r="D10" s="24" t="str">
        <x:v>ISO date</x:v>
      </x:c>
      <x:c r="E10" s="24" t="str">
        <x:v>Yes</x:v>
      </x:c>
      <x:c r="F10" s="24" t="str">
        <x:v>Use real date values.</x:v>
      </x:c>
    </x:row>
    <x:row r="11">
      <x:c r="A11" s="24" t="str">
        <x:v>Layer Summary</x:v>
      </x:c>
      <x:c r="B11" s="24" t="str">
        <x:v>Known gaps</x:v>
      </x:c>
      <x:c r="C11" s="24" t="str">
        <x:v>Unresolved content or evidence gaps.</x:v>
      </x:c>
      <x:c r="D11" s="24" t="str">
        <x:v>Free text</x:v>
      </x:c>
      <x:c r="E11" s="24" t="str">
        <x:v>Yes</x:v>
      </x:c>
      <x:c r="F11" s="24" t="str">
        <x:v>Do not hide uncertainty.</x:v>
      </x:c>
    </x:row>
    <x:row r="12">
      <x:c r="A12" s="24" t="str">
        <x:v>Drivers</x:v>
      </x:c>
      <x:c r="B12" s="24" t="str">
        <x:v>ID</x:v>
      </x:c>
      <x:c r="C12" s="24" t="str">
        <x:v>Permanent unique driver identifier.</x:v>
      </x:c>
      <x:c r="D12" s="24" t="str">
        <x:v>Layer prefix + three digits (e.g., BIO-001)</x:v>
      </x:c>
      <x:c r="E12" s="24" t="str">
        <x:v>Yes</x:v>
      </x:c>
      <x:c r="F12" s="24" t="str">
        <x:v>Never reuse; preserve through revisions.</x:v>
      </x:c>
    </x:row>
    <x:row r="13">
      <x:c r="A13" s="24" t="str">
        <x:v>Drivers</x:v>
      </x:c>
      <x:c r="B13" s="24" t="str">
        <x:v>Name</x:v>
      </x:c>
      <x:c r="C13" s="24" t="str">
        <x:v>Canonical variable name.</x:v>
      </x:c>
      <x:c r="D13" s="24" t="str">
        <x:v>Concise scientific noun phrase</x:v>
      </x:c>
      <x:c r="E13" s="24" t="str">
        <x:v>Yes</x:v>
      </x:c>
      <x:c r="F13" s="24" t="str">
        <x:v>Name the variable, not an adverse state.</x:v>
      </x:c>
    </x:row>
    <x:row r="14">
      <x:c r="A14" s="24" t="str">
        <x:v>Drivers</x:v>
      </x:c>
      <x:c r="B14" s="24" t="str">
        <x:v>Other Names / Aliases</x:v>
      </x:c>
      <x:c r="C14" s="24" t="str">
        <x:v>Alternative and legacy terms.</x:v>
      </x:c>
      <x:c r="D14" s="24" t="str">
        <x:v>Semicolon-separated text</x:v>
      </x:c>
      <x:c r="E14" s="24" t="str">
        <x:v>No</x:v>
      </x:c>
      <x:c r="F14" s="24" t="str">
        <x:v>Aliases aid retrieval and do not guarantee equivalence.</x:v>
      </x:c>
    </x:row>
    <x:row r="15">
      <x:c r="A15" s="24" t="str">
        <x:v>Drivers</x:v>
      </x:c>
      <x:c r="B15" s="24" t="str">
        <x:v>Layer</x:v>
      </x:c>
      <x:c r="C15" s="24" t="str">
        <x:v>Primary layer assignment.</x:v>
      </x:c>
      <x:c r="D15" s="24" t="str">
        <x:v>Biological; Psychological; Social; Cultural; Physical / Environmental; Institutional / Structural; Informational; Technological</x:v>
      </x:c>
      <x:c r="E15" s="24" t="str">
        <x:v>Yes</x:v>
      </x:c>
      <x:c r="F15" s="24" t="str">
        <x:v>Assign by nature of variable.</x:v>
      </x:c>
    </x:row>
    <x:row r="16">
      <x:c r="A16" s="24" t="str">
        <x:v>Drivers</x:v>
      </x:c>
      <x:c r="B16" s="24" t="str">
        <x:v>Family</x:v>
      </x:c>
      <x:c r="C16" s="24" t="str">
        <x:v>Canonical primary family.</x:v>
      </x:c>
      <x:c r="D16" s="24" t="str">
        <x:v>Valid Family Name in Families sheet</x:v>
      </x:c>
      <x:c r="E16" s="24" t="str">
        <x:v>Yes</x:v>
      </x:c>
      <x:c r="F16" s="24" t="str">
        <x:v>Exactly one primary family.</x:v>
      </x:c>
    </x:row>
    <x:row r="17">
      <x:c r="A17" s="24" t="str">
        <x:v>Drivers</x:v>
      </x:c>
      <x:c r="B17" s="24" t="str">
        <x:v>Definition</x:v>
      </x:c>
      <x:c r="C17" s="24" t="str">
        <x:v>Concise statement of what varies.</x:v>
      </x:c>
      <x:c r="D17" s="24" t="str">
        <x:v>Free text</x:v>
      </x:c>
      <x:c r="E17" s="24" t="str">
        <x:v>Yes</x:v>
      </x:c>
      <x:c r="F17" s="24" t="str">
        <x:v>Exclude effects from construct definition.</x:v>
      </x:c>
    </x:row>
    <x:row r="18">
      <x:c r="A18" s="24" t="str">
        <x:v>Drivers</x:v>
      </x:c>
      <x:c r="B18" s="24" t="str">
        <x:v>Data Type</x:v>
      </x:c>
      <x:c r="C18" s="24" t="str">
        <x:v>General variable type.</x:v>
      </x:c>
      <x:c r="D18" s="24" t="str">
        <x:v>Binary; Ordinal; Nominal categorical; Unipolar continuous; Bipolar continuous; Count; Frequency; Rate; Proportion; Duration; Magnitude / level; Time; Multidimensional; Other structured type</x:v>
      </x:c>
      <x:c r="E18" s="24" t="str">
        <x:v>Yes</x:v>
      </x:c>
      <x:c r="F18" s="24" t="str">
        <x:v>Choose scientifically faithful type; multiple operational representations may exist.</x:v>
      </x:c>
    </x:row>
    <x:row r="19">
      <x:c r="A19" s="24" t="str">
        <x:v>Drivers</x:v>
      </x:c>
      <x:c r="B19" s="24" t="str">
        <x:v>Representation / Scale</x:v>
      </x:c>
      <x:c r="C19" s="24" t="str">
        <x:v>Plausible encodings.</x:v>
      </x:c>
      <x:c r="D19" s="24" t="str">
        <x:v>Free text</x:v>
      </x:c>
      <x:c r="E19" s="24" t="str">
        <x:v>Yes</x:v>
      </x:c>
      <x:c r="F19" s="24" t="str">
        <x:v>Do not force every variable to continuous form.</x:v>
      </x:c>
    </x:row>
    <x:row r="20">
      <x:c r="A20" s="24" t="str">
        <x:v>Drivers</x:v>
      </x:c>
      <x:c r="B20" s="24" t="str">
        <x:v>Polarity / Direction of Interpretation</x:v>
      </x:c>
      <x:c r="C20" s="24" t="str">
        <x:v>Semantic meaning of movement or categories.</x:v>
      </x:c>
      <x:c r="D20" s="24" t="str">
        <x:v>Free text</x:v>
      </x:c>
      <x:c r="E20" s="24" t="str">
        <x:v>Yes</x:v>
      </x:c>
      <x:c r="F20" s="24" t="str">
        <x:v>Not a universal direction of behavioral effect.</x:v>
      </x:c>
    </x:row>
    <x:row r="21">
      <x:c r="A21" s="24" t="str">
        <x:v>Drivers</x:v>
      </x:c>
      <x:c r="B21" s="24" t="str">
        <x:v>Mechanism</x:v>
      </x:c>
      <x:c r="C21" s="24" t="str">
        <x:v>How a change may affect downstream variables.</x:v>
      </x:c>
      <x:c r="D21" s="24" t="str">
        <x:v>Free text</x:v>
      </x:c>
      <x:c r="E21" s="24" t="str">
        <x:v>Yes</x:v>
      </x:c>
      <x:c r="F21" s="24" t="str">
        <x:v>Explain process, not correlation alone.</x:v>
      </x:c>
    </x:row>
    <x:row r="22">
      <x:c r="A22" s="24" t="str">
        <x:v>Drivers</x:v>
      </x:c>
      <x:c r="B22" s="24" t="str">
        <x:v>Likely Upstream Influences</x:v>
      </x:c>
      <x:c r="C22" s="24" t="str">
        <x:v>Factors likely to change the driver.</x:v>
      </x:c>
      <x:c r="D22" s="24" t="str">
        <x:v>Semicolon-separated text</x:v>
      </x:c>
      <x:c r="E22" s="24" t="str">
        <x:v>No</x:v>
      </x:c>
      <x:c r="F22" s="24" t="str">
        <x:v>Use influences, not universal causes.</x:v>
      </x:c>
    </x:row>
    <x:row r="23">
      <x:c r="A23" s="24" t="str">
        <x:v>Drivers</x:v>
      </x:c>
      <x:c r="B23" s="24" t="str">
        <x:v>Likely Downstream Influences</x:v>
      </x:c>
      <x:c r="C23" s="24" t="str">
        <x:v>Factors the driver may change.</x:v>
      </x:c>
      <x:c r="D23" s="24" t="str">
        <x:v>Semicolon-separated text</x:v>
      </x:c>
      <x:c r="E23" s="24" t="str">
        <x:v>No</x:v>
      </x:c>
      <x:c r="F23" s="24" t="str">
        <x:v>Use structured Relationships for evidence-bearing edges.</x:v>
      </x:c>
    </x:row>
    <x:row r="24">
      <x:c r="A24" s="24" t="str">
        <x:v>Drivers</x:v>
      </x:c>
      <x:c r="B24" s="24" t="str">
        <x:v>Moderators / Boundary Conditions</x:v>
      </x:c>
      <x:c r="C24" s="24" t="str">
        <x:v>Conditions changing effect strength, direction, threshold, or persistence.</x:v>
      </x:c>
      <x:c r="D24" s="24" t="str">
        <x:v>Free text</x:v>
      </x:c>
      <x:c r="E24" s="24" t="str">
        <x:v>Yes</x:v>
      </x:c>
      <x:c r="F24" s="24" t="str">
        <x:v>Avoid universal claims.</x:v>
      </x:c>
    </x:row>
    <x:row r="25">
      <x:c r="A25" s="24" t="str">
        <x:v>Drivers</x:v>
      </x:c>
      <x:c r="B25" s="24" t="str">
        <x:v>Typical Interaction Candidates</x:v>
      </x:c>
      <x:c r="C25" s="24" t="str">
        <x:v>Plausible interacting drivers.</x:v>
      </x:c>
      <x:c r="D25" s="24" t="str">
        <x:v>Semicolon-separated text</x:v>
      </x:c>
      <x:c r="E25" s="24" t="str">
        <x:v>No</x:v>
      </x:c>
      <x:c r="F25" s="24" t="str">
        <x:v>Candidates are not established edges.</x:v>
      </x:c>
    </x:row>
    <x:row r="26">
      <x:c r="A26" s="24" t="str">
        <x:v>Drivers</x:v>
      </x:c>
      <x:c r="B26" s="24" t="str">
        <x:v>Modifiability / Malleability</x:v>
      </x:c>
      <x:c r="C26" s="24" t="str">
        <x:v>Practical changeability.</x:v>
      </x:c>
      <x:c r="D26" s="24" t="str">
        <x:v>Very Low; Low; Moderate; High; Very High</x:v>
      </x:c>
      <x:c r="E26" s="24" t="str">
        <x:v>Yes</x:v>
      </x:c>
      <x:c r="F26" s="24" t="str">
        <x:v>Distinguish theoretical from mission-context feasibility.</x:v>
      </x:c>
    </x:row>
    <x:row r="27">
      <x:c r="A27" s="24" t="str">
        <x:v>Drivers</x:v>
      </x:c>
      <x:c r="B27" s="24" t="str">
        <x:v>Volatility</x:v>
      </x:c>
      <x:c r="C27" s="24" t="str">
        <x:v>Natural fluctuation without deliberate intervention.</x:v>
      </x:c>
      <x:c r="D27" s="24" t="str">
        <x:v>Very Low; Low; Moderate; High; Very High</x:v>
      </x:c>
      <x:c r="E27" s="24" t="str">
        <x:v>Yes</x:v>
      </x:c>
      <x:c r="F27" s="24" t="str">
        <x:v>Do not collapse with malleability.</x:v>
      </x:c>
    </x:row>
    <x:row r="28">
      <x:c r="A28" s="24" t="str">
        <x:v>Drivers</x:v>
      </x:c>
      <x:c r="B28" s="24" t="str">
        <x:v>Time Scale of Change</x:v>
      </x:c>
      <x:c r="C28" s="24" t="str">
        <x:v>Typical time for meaningful movement.</x:v>
      </x:c>
      <x:c r="D28" s="24" t="str">
        <x:v>Seconds–Minutes; Minutes–Hours; Hours–Days; Days–Weeks; Weeks–Months; Months–Years; Years–Generations; Mixed / Context-dependent; semicolon-separated combinations</x:v>
      </x:c>
      <x:c r="E28" s="24" t="str">
        <x:v>Yes</x:v>
      </x:c>
      <x:c r="F28" s="24" t="str">
        <x:v>Multiple scales permitted.</x:v>
      </x:c>
    </x:row>
    <x:row r="29">
      <x:c r="A29" s="24" t="str">
        <x:v>Drivers</x:v>
      </x:c>
      <x:c r="B29" s="24" t="str">
        <x:v>Onset / Causal Lag</x:v>
      </x:c>
      <x:c r="C29" s="24" t="str">
        <x:v>Delay to downstream consequence.</x:v>
      </x:c>
      <x:c r="D29" s="24" t="str">
        <x:v>Same time categories as Time Scale of Change</x:v>
      </x:c>
      <x:c r="E29" s="24" t="str">
        <x:v>Yes</x:v>
      </x:c>
      <x:c r="F29" s="24" t="str">
        <x:v>Separate from driver change speed.</x:v>
      </x:c>
    </x:row>
    <x:row r="30">
      <x:c r="A30" s="24" t="str">
        <x:v>Drivers</x:v>
      </x:c>
      <x:c r="B30" s="24" t="str">
        <x:v>Persistence / Recovery</x:v>
      </x:c>
      <x:c r="C30" s="24" t="str">
        <x:v>Duration or reversibility after initiating condition changes.</x:v>
      </x:c>
      <x:c r="D30" s="24" t="str">
        <x:v>Free text</x:v>
      </x:c>
      <x:c r="E30" s="24" t="str">
        <x:v>Yes</x:v>
      </x:c>
      <x:c r="F30" s="24" t="str">
        <x:v>Describe state/effect persistence and recovery.</x:v>
      </x:c>
    </x:row>
    <x:row r="31">
      <x:c r="A31" s="24" t="str">
        <x:v>Drivers</x:v>
      </x:c>
      <x:c r="B31" s="24" t="str">
        <x:v>Indicators</x:v>
      </x:c>
      <x:c r="C31" s="24" t="str">
        <x:v>Observable signals of driver state.</x:v>
      </x:c>
      <x:c r="D31" s="24" t="str">
        <x:v>Semicolon-separated text</x:v>
      </x:c>
      <x:c r="E31" s="24" t="str">
        <x:v>No</x:v>
      </x:c>
      <x:c r="F31" s="24" t="str">
        <x:v>Indicator is not automatically the driver.</x:v>
      </x:c>
    </x:row>
    <x:row r="32">
      <x:c r="A32" s="24" t="str">
        <x:v>Drivers</x:v>
      </x:c>
      <x:c r="B32" s="24" t="str">
        <x:v>Measurement / Assessment Methods</x:v>
      </x:c>
      <x:c r="C32" s="24" t="str">
        <x:v>Ways to estimate or infer the driver.</x:v>
      </x:c>
      <x:c r="D32" s="24" t="str">
        <x:v>Free text or link to Operationalizations</x:v>
      </x:c>
      <x:c r="E32" s="24" t="str">
        <x:v>Yes</x:v>
      </x:c>
      <x:c r="F32" s="24" t="str">
        <x:v>Avoid collision with PSYWERX Method entity type.</x:v>
      </x:c>
    </x:row>
    <x:row r="33">
      <x:c r="A33" s="24" t="str">
        <x:v>Drivers</x:v>
      </x:c>
      <x:c r="B33" s="24" t="str">
        <x:v>Observability</x:v>
      </x:c>
      <x:c r="C33" s="24" t="str">
        <x:v>General directness of observation.</x:v>
      </x:c>
      <x:c r="D33" s="24" t="str">
        <x:v>High; Moderate; Low</x:v>
      </x:c>
      <x:c r="E33" s="24" t="str">
        <x:v>Yes</x:v>
      </x:c>
      <x:c r="F33" s="24" t="str">
        <x:v>Not equivalent to reliability.</x:v>
      </x:c>
    </x:row>
    <x:row r="34">
      <x:c r="A34" s="24" t="str">
        <x:v>Drivers</x:v>
      </x:c>
      <x:c r="B34" s="24" t="str">
        <x:v>Measurement Caveats</x:v>
      </x:c>
      <x:c r="C34" s="24" t="str">
        <x:v>Known assessment limitations.</x:v>
      </x:c>
      <x:c r="D34" s="24" t="str">
        <x:v>Free text</x:v>
      </x:c>
      <x:c r="E34" s="24" t="str">
        <x:v>Yes</x:v>
      </x:c>
      <x:c r="F34" s="24" t="str">
        <x:v>Address validity and context.</x:v>
      </x:c>
    </x:row>
    <x:row r="35">
      <x:c r="A35" s="24" t="str">
        <x:v>Drivers</x:v>
      </x:c>
      <x:c r="B35" s="24" t="str">
        <x:v>Evidence Strength</x:v>
      </x:c>
      <x:c r="C35" s="24" t="str">
        <x:v>Overall maturity of support.</x:v>
      </x:c>
      <x:c r="D35" s="24" t="str">
        <x:v>Strong; Moderate; Emerging; Mixed; Limited</x:v>
      </x:c>
      <x:c r="E35" s="24" t="str">
        <x:v>Yes</x:v>
      </x:c>
      <x:c r="F35" s="24" t="str">
        <x:v>Grade support, not popularity.</x:v>
      </x:c>
    </x:row>
    <x:row r="36">
      <x:c r="A36" s="24" t="str">
        <x:v>Drivers</x:v>
      </x:c>
      <x:c r="B36" s="24" t="str">
        <x:v>Evidence Notes</x:v>
      </x:c>
      <x:c r="C36" s="24" t="str">
        <x:v>Supported claims and uncertainties.</x:v>
      </x:c>
      <x:c r="D36" s="24" t="str">
        <x:v>Free text</x:v>
      </x:c>
      <x:c r="E36" s="24" t="str">
        <x:v>Yes</x:v>
      </x:c>
      <x:c r="F36" s="24" t="str">
        <x:v>Include transferability limits.</x:v>
      </x:c>
    </x:row>
    <x:row r="37">
      <x:c r="A37" s="24" t="str">
        <x:v>Drivers</x:v>
      </x:c>
      <x:c r="B37" s="24" t="str">
        <x:v>Common Misinterpretations</x:v>
      </x:c>
      <x:c r="C37" s="24" t="str">
        <x:v>Common misuse of construct.</x:v>
      </x:c>
      <x:c r="D37" s="24" t="str">
        <x:v>Free text</x:v>
      </x:c>
      <x:c r="E37" s="24" t="str">
        <x:v>Yes</x:v>
      </x:c>
      <x:c r="F37" s="24" t="str">
        <x:v>Record reductionist or deterministic errors.</x:v>
      </x:c>
    </x:row>
    <x:row r="38">
      <x:c r="A38" s="24" t="str">
        <x:v>Drivers</x:v>
      </x:c>
      <x:c r="B38" s="24" t="str">
        <x:v>Key Sources</x:v>
      </x:c>
      <x:c r="C38" s="24" t="str">
        <x:v>Representative Evidence IDs.</x:v>
      </x:c>
      <x:c r="D38" s="24" t="str">
        <x:v>Semicolon-separated Evidence IDs</x:v>
      </x:c>
      <x:c r="E38" s="24" t="str">
        <x:v>Yes</x:v>
      </x:c>
      <x:c r="F38" s="24" t="str">
        <x:v>Traceability, not exhaustive bibliography.</x:v>
      </x:c>
    </x:row>
    <x:row r="39">
      <x:c r="A39" s="24" t="str">
        <x:v>Families</x:v>
      </x:c>
      <x:c r="B39" s="24" t="str">
        <x:v>Family ID</x:v>
      </x:c>
      <x:c r="C39" s="24" t="str">
        <x:v>Permanent family identifier.</x:v>
      </x:c>
      <x:c r="D39" s="24" t="str">
        <x:v>Layer prefix + F + two digits</x:v>
      </x:c>
      <x:c r="E39" s="24" t="str">
        <x:v>Yes</x:v>
      </x:c>
      <x:c r="F39" s="24" t="str">
        <x:v>Stable within layer.</x:v>
      </x:c>
    </x:row>
    <x:row r="40">
      <x:c r="A40" s="24" t="str">
        <x:v>Families</x:v>
      </x:c>
      <x:c r="B40" s="24" t="str">
        <x:v>Family Name</x:v>
      </x:c>
      <x:c r="C40" s="24" t="str">
        <x:v>Canonical family noun phrase.</x:v>
      </x:c>
      <x:c r="D40" s="24" t="str">
        <x:v>Concise scientific noun phrase</x:v>
      </x:c>
      <x:c r="E40" s="24" t="str">
        <x:v>Yes</x:v>
      </x:c>
      <x:c r="F40" s="24" t="str">
        <x:v>Narrower than layer; normally multiple drivers.</x:v>
      </x:c>
    </x:row>
    <x:row r="41">
      <x:c r="A41" s="24" t="str">
        <x:v>Families</x:v>
      </x:c>
      <x:c r="B41" s="24" t="str">
        <x:v>Layer</x:v>
      </x:c>
      <x:c r="C41" s="24" t="str">
        <x:v>Primary layer.</x:v>
      </x:c>
      <x:c r="D41" s="24" t="str">
        <x:v>Eight allowed layer values</x:v>
      </x:c>
      <x:c r="E41" s="24" t="str">
        <x:v>Yes</x:v>
      </x:c>
      <x:c r="F41" s="24" t="str">
        <x:v>One layer per family.</x:v>
      </x:c>
    </x:row>
    <x:row r="42">
      <x:c r="A42" s="24" t="str">
        <x:v>Families</x:v>
      </x:c>
      <x:c r="B42" s="24" t="str">
        <x:v>Definition</x:v>
      </x:c>
      <x:c r="C42" s="24" t="str">
        <x:v>Class of variables grouped.</x:v>
      </x:c>
      <x:c r="D42" s="24" t="str">
        <x:v>Free text</x:v>
      </x:c>
      <x:c r="E42" s="24" t="str">
        <x:v>Yes</x:v>
      </x:c>
      <x:c r="F42" s="24" t="str">
        <x:v>Explain distinction from neighboring families.</x:v>
      </x:c>
    </x:row>
    <x:row r="43">
      <x:c r="A43" s="24" t="str">
        <x:v>Families</x:v>
      </x:c>
      <x:c r="B43" s="24" t="str">
        <x:v>Inclusion Rule</x:v>
      </x:c>
      <x:c r="C43" s="24" t="str">
        <x:v>What belongs.</x:v>
      </x:c>
      <x:c r="D43" s="24" t="str">
        <x:v>Free text</x:v>
      </x:c>
      <x:c r="E43" s="24" t="str">
        <x:v>Yes</x:v>
      </x:c>
      <x:c r="F43" s="24" t="str">
        <x:v>Use variable-class criteria.</x:v>
      </x:c>
    </x:row>
    <x:row r="44">
      <x:c r="A44" s="24" t="str">
        <x:v>Families</x:v>
      </x:c>
      <x:c r="B44" s="24" t="str">
        <x:v>Exclusion / Boundary Rule</x:v>
      </x:c>
      <x:c r="C44" s="24" t="str">
        <x:v>What does not belong.</x:v>
      </x:c>
      <x:c r="D44" s="24" t="str">
        <x:v>Free text</x:v>
      </x:c>
      <x:c r="E44" s="24" t="str">
        <x:v>Yes</x:v>
      </x:c>
      <x:c r="F44" s="24" t="str">
        <x:v>Name neighboring families/layers where useful.</x:v>
      </x:c>
    </x:row>
    <x:row r="45">
      <x:c r="A45" s="24" t="str">
        <x:v>Families</x:v>
      </x:c>
      <x:c r="B45" s="24" t="str">
        <x:v>Representative Drivers</x:v>
      </x:c>
      <x:c r="C45" s="24" t="str">
        <x:v>Illustrative members.</x:v>
      </x:c>
      <x:c r="D45" s="24" t="str">
        <x:v>Semicolon-separated canonical names</x:v>
      </x:c>
      <x:c r="E45" s="24" t="str">
        <x:v>No</x:v>
      </x:c>
      <x:c r="F45" s="24" t="str">
        <x:v>Not exhaustive or duplicative.</x:v>
      </x:c>
    </x:row>
    <x:row r="46">
      <x:c r="A46" s="24" t="str">
        <x:v>Evidence Library</x:v>
      </x:c>
      <x:c r="B46" s="24" t="str">
        <x:v>Evidence Strength</x:v>
      </x:c>
      <x:c r="C46" s="24" t="str">
        <x:v>Strength of a specific evidence record.</x:v>
      </x:c>
      <x:c r="D46" s="24" t="str">
        <x:v>Strong; Moderate; Emerging; Mixed; Limited</x:v>
      </x:c>
      <x:c r="E46" s="24" t="str">
        <x:v>Yes</x:v>
      </x:c>
      <x:c r="F46" s="24" t="str">
        <x:v>Record-level grading may differ from driver-level grade.</x:v>
      </x:c>
    </x:row>
    <x:row r="47">
      <x:c r="A47" s="24" t="str">
        <x:v>Relationships</x:v>
      </x:c>
      <x:c r="B47" s="24" t="str">
        <x:v>Expected Direction</x:v>
      </x:c>
      <x:c r="C47" s="24" t="str">
        <x:v>Direction/form of specific edge.</x:v>
      </x:c>
      <x:c r="D47" s="24" t="str">
        <x:v>Positive; Negative; Inverted-U; U-shaped; Threshold; Saturating; Contingent; Unknown; Bidirectional</x:v>
      </x:c>
      <x:c r="E47" s="24" t="str">
        <x:v>Yes</x:v>
      </x:c>
      <x:c r="F47" s="24" t="str">
        <x:v>Direction belongs to edge, not driver.</x:v>
      </x:c>
    </x:row>
    <x:row r="48">
      <x:c r="A48" s="24" t="str">
        <x:v>Relationships</x:v>
      </x:c>
      <x:c r="B48" s="24" t="str">
        <x:v>Evidence Strength</x:v>
      </x:c>
      <x:c r="C48" s="24" t="str">
        <x:v>Support for specific edge.</x:v>
      </x:c>
      <x:c r="D48" s="24" t="str">
        <x:v>Strong; Moderate; Emerging; Mixed; Limited</x:v>
      </x:c>
      <x:c r="E48" s="24" t="str">
        <x:v>Yes</x:v>
      </x:c>
      <x:c r="F48" s="24" t="str">
        <x:v>Do not infer from driver-level evidence alone.</x:v>
      </x:c>
    </x:row>
    <x:row r="49">
      <x:c r="A49" s="24" t="str">
        <x:v>Operationalizations</x:v>
      </x:c>
      <x:c r="B49" s="24" t="str">
        <x:v>Method Type</x:v>
      </x:c>
      <x:c r="C49" s="24" t="str">
        <x:v>Class of operationalization.</x:v>
      </x:c>
      <x:c r="D49" s="24" t="str">
        <x:v>Self-report / assessment; Physiological / sensor; Behavioral / clinical assessment; Administrative / archival; Expert elicitation; Other</x:v>
      </x:c>
      <x:c r="E49" s="24" t="str">
        <x:v>Yes</x:v>
      </x:c>
      <x:c r="F49" s="24" t="str">
        <x:v>One operationalization per row.</x:v>
      </x:c>
    </x:row>
    <x:row r="50">
      <x:c r="A50" s="25" t="str">
        <x:v>Cautions &amp; Exclusions</x:v>
      </x:c>
      <x:c r="B50" s="25" t="str">
        <x:v>Disposition</x:v>
      </x:c>
      <x:c r="C50" s="25" t="str">
        <x:v>Ontology decision.</x:v>
      </x:c>
      <x:c r="D50" s="25" t="str">
        <x:v>Retained; Renamed / normalized; Merged; Split; Excluded / reclassified; Deprecated; Provisional; Cross-layer review</x:v>
      </x:c>
      <x:c r="E50" s="25" t="str">
        <x:v>Yes</x:v>
      </x:c>
      <x:c r="F50" s="25" t="str">
        <x:v>Always record rationale and target when applicable.</x:v>
      </x:c>
    </x:row>
  </x:sheetData>
  <x:mergeCells>
    <x:mergeCell ref="A1:F1"/>
    <x:mergeCell ref="A2:F2"/>
  </x:mergeCells>
  <x:pageMargins left="0.7" right="0.7" top="0.75" bottom="0.75" header="0.3" footer="0.3"/>
  <x:tableParts count="1">
    <x:tablePart xmlns:r="http://schemas.openxmlformats.org/officeDocument/2006/relationships" r:id="R2b67afa4b04f4ee7"/>
  </x:tableParts>
</x:worksheet>
</file>